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liveadminwindesheim-my.sharepoint.com/personal/s1208441_student_windesheim_nl/Documents/"/>
    </mc:Choice>
  </mc:AlternateContent>
  <xr:revisionPtr revIDLastSave="387" documentId="8_{457C1D70-64FC-4E90-8B82-A9FD219DE9B0}" xr6:coauthVersionLast="47" xr6:coauthVersionMax="47" xr10:uidLastSave="{F6AEE645-D667-4E71-B15B-6DACD0B062C0}"/>
  <bookViews>
    <workbookView xWindow="-108" yWindow="-108" windowWidth="23256" windowHeight="12456" tabRatio="768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1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19" i="1"/>
  <c r="I27" i="1"/>
  <c r="I26" i="1"/>
  <c r="I24" i="1"/>
  <c r="I23" i="1"/>
  <c r="I22" i="1"/>
  <c r="I21" i="1"/>
  <c r="I18" i="1"/>
  <c r="I17" i="1"/>
  <c r="I20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D6A50-0ABC-459D-A6FF-801730E6719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42C77F-A702-4FE3-AADA-AF9346E2D526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1"/>
        </x15:connection>
      </ext>
    </extLst>
  </connection>
</connections>
</file>

<file path=xl/sharedStrings.xml><?xml version="1.0" encoding="utf-8"?>
<sst xmlns="http://schemas.openxmlformats.org/spreadsheetml/2006/main" count="491" uniqueCount="153">
  <si>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</si>
  <si>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</si>
  <si>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</si>
  <si>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</si>
  <si>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</si>
  <si>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</si>
  <si>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</si>
  <si>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</si>
  <si>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</si>
  <si>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</si>
  <si>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</si>
  <si>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</si>
  <si>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</si>
  <si>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</si>
  <si>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</si>
  <si>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</si>
  <si>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</si>
  <si>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</si>
  <si>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</si>
  <si>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</si>
  <si>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</si>
  <si>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</si>
  <si>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</si>
  <si>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</si>
  <si>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</si>
  <si>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</si>
  <si>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</si>
  <si>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</si>
  <si>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</si>
  <si>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</si>
  <si>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</si>
  <si>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</si>
  <si>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</si>
  <si>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</si>
  <si>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</si>
  <si>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</si>
  <si>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</si>
  <si>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</si>
  <si>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</si>
  <si>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</si>
  <si>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Analyseren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</si>
  <si>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</si>
  <si>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</si>
  <si>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</si>
  <si>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</si>
  <si>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</si>
  <si>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</si>
  <si>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</si>
  <si>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</si>
  <si>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</si>
  <si>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Scrumproces</t>
  </si>
  <si>
    <t>Aangeven behoeften</t>
  </si>
  <si>
    <t>Scrumworkshop gevolgd</t>
  </si>
  <si>
    <t>Manage &amp; Control</t>
  </si>
  <si>
    <t>Beheerproces</t>
  </si>
  <si>
    <t>Fork maken</t>
  </si>
  <si>
    <t>Git aangemaakt</t>
  </si>
  <si>
    <t>Bepalen werklast</t>
  </si>
  <si>
    <t>Onderzoek en vragen gesteld om opdracht duidelijker te maken voor de groep.</t>
  </si>
  <si>
    <t>Reviewen werk</t>
  </si>
  <si>
    <t>Al door requirements en functioneel ontwerp gekeken, feedback wacht tot morgen met product owner.</t>
  </si>
  <si>
    <t>Realiseren</t>
  </si>
  <si>
    <t>Organiseren requirements</t>
  </si>
  <si>
    <t>Ontwerp wireframe schermen</t>
  </si>
  <si>
    <t>Ontwerpproces</t>
  </si>
  <si>
    <t>Uitleg werking systeem</t>
  </si>
  <si>
    <t>Concept van het Technisch Ontwerp opgesteld</t>
  </si>
  <si>
    <t>Testproces</t>
  </si>
  <si>
    <t>Verzamelen testscenarios</t>
  </si>
  <si>
    <t>Opstellen van Testontwerp</t>
  </si>
  <si>
    <t>Verzamelen testcases</t>
  </si>
  <si>
    <t>Opstellen schriftelijke testcase</t>
  </si>
  <si>
    <t>Opstellen van het concept van het Testrapportage</t>
  </si>
  <si>
    <t>Vaardigheid</t>
  </si>
  <si>
    <t>Testen in pipeline</t>
  </si>
  <si>
    <t>Inrichten .gitignore</t>
  </si>
  <si>
    <t>Mergen feature met PR</t>
  </si>
  <si>
    <t>Maken geversioneerde release</t>
  </si>
  <si>
    <t>Kiezen branchingstrategie</t>
  </si>
  <si>
    <t>Maken feature branch</t>
  </si>
  <si>
    <t>Opzetten testen in pipeline</t>
  </si>
  <si>
    <t>Doorvoeren PR naar dev</t>
  </si>
  <si>
    <t>Doorvoeren PR naar main</t>
  </si>
  <si>
    <t>Ontwerpen</t>
  </si>
  <si>
    <t>Gebruiken teststrategie</t>
  </si>
  <si>
    <t>Selecteren testsoort</t>
  </si>
  <si>
    <t>Opstellen geautomatiseerde test</t>
  </si>
  <si>
    <t>Uitvoeren handmatige test</t>
  </si>
  <si>
    <t>Uitvoeren geautomatiseerde test</t>
  </si>
  <si>
    <t>Adviseren</t>
  </si>
  <si>
    <t>Evalueren testresultaat</t>
  </si>
  <si>
    <t>Implementatieproces</t>
  </si>
  <si>
    <t>Structureer project</t>
  </si>
  <si>
    <t>Structureer code</t>
  </si>
  <si>
    <t>Toepassen taalconcepten</t>
  </si>
  <si>
    <t>Controleer aansluiting ontwerp</t>
  </si>
  <si>
    <t>Peerreviewen code</t>
  </si>
  <si>
    <t>Beredeneer keuze taalconcept</t>
  </si>
  <si>
    <t>Spoor fouten op</t>
  </si>
  <si>
    <t>Kies oplossing</t>
  </si>
  <si>
    <t>Voer oplossing door</t>
  </si>
  <si>
    <t>Toepassen modelleertechnieken</t>
  </si>
  <si>
    <t>Iteratief verfijnen ontwerp</t>
  </si>
  <si>
    <t>Controle communiceerbaarheid ontwerp</t>
  </si>
  <si>
    <t>Controle aansluiting requirements</t>
  </si>
  <si>
    <t>Controle toepassing ontwerptechnieken</t>
  </si>
  <si>
    <t>Ondersteunen bij ontwerpkeuzes</t>
  </si>
  <si>
    <t>Presenteren aanbevelingen</t>
  </si>
  <si>
    <t>Detecteren mogelijke gebreken in requirements</t>
  </si>
  <si>
    <t>Bepalen haalbaarheid requirements</t>
  </si>
  <si>
    <t>Reviewen requirements</t>
  </si>
  <si>
    <t>Aangeven grenzen</t>
  </si>
  <si>
    <t>Afstemmen op behoeften omgeving</t>
  </si>
  <si>
    <t>Opstellen productafspraken</t>
  </si>
  <si>
    <t>Vaststellen sprintdoel</t>
  </si>
  <si>
    <t>In kaart brengen afhankelijkheden</t>
  </si>
  <si>
    <t>Kiezen user stories</t>
  </si>
  <si>
    <t>Toevoegen taken aan user story</t>
  </si>
  <si>
    <t>Opstellen productbacklog</t>
  </si>
  <si>
    <t>Prioriteren productbacklog</t>
  </si>
  <si>
    <t>Toevoegen acceptatiecriteria</t>
  </si>
  <si>
    <t>Monitoren voortgang sprintdoel</t>
  </si>
  <si>
    <t>Uiten belemmeringen</t>
  </si>
  <si>
    <t>Inzichtelijk maken voortgang</t>
  </si>
  <si>
    <t>Oplossen belemmeringen</t>
  </si>
  <si>
    <t>Ondersteunen teamlid</t>
  </si>
  <si>
    <t>Werk presenteren</t>
  </si>
  <si>
    <t>Ophalen feedback</t>
  </si>
  <si>
    <t>Feedback verwerken</t>
  </si>
  <si>
    <t>Kiezen werkvorm</t>
  </si>
  <si>
    <t>Feedback geven</t>
  </si>
  <si>
    <t>Feedback ontvangen</t>
  </si>
  <si>
    <t>Noteren actiepunten</t>
  </si>
  <si>
    <t>Verdeling over proces stappen</t>
  </si>
  <si>
    <t>Verdeling over HBO-I activiteiten</t>
  </si>
  <si>
    <t>Naam en Sprint</t>
  </si>
  <si>
    <t>Sum of Uren</t>
  </si>
  <si>
    <t>(leeg)</t>
  </si>
  <si>
    <t>Eindtotaal</t>
  </si>
  <si>
    <t>Feedback geven gebaseert op review</t>
  </si>
  <si>
    <t>Gitignore gemaakt en nagekeken</t>
  </si>
  <si>
    <t>Github flow</t>
  </si>
  <si>
    <t>Review alle documentatie van Edward</t>
  </si>
  <si>
    <t>Review en discussie mbt Feedback team</t>
  </si>
  <si>
    <t>Aanpassen en verrijken van het Functioneel ontwerp</t>
  </si>
  <si>
    <t>Notities opstellen in de requirement analyse</t>
  </si>
  <si>
    <t>Bestuderen opdracht</t>
  </si>
  <si>
    <t>Reviewen Edwards werk</t>
  </si>
  <si>
    <t>Reviewen van alle documenten</t>
  </si>
  <si>
    <t xml:space="preserve">Opstellen van het Projectdocument </t>
  </si>
  <si>
    <t>Prioriteiten aanpassen</t>
  </si>
  <si>
    <t>Review projectdocument</t>
  </si>
  <si>
    <t>Documenten klaarzetten voor release sprint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</si>
</sst>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  <font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94DCF8"/>
        <bgColor rgb="FF94DCF8"/>
      </patternFill>
    </fill>
    <fill>
      <patternFill patternType="solid">
        <fgColor rgb="FFD0D0D0"/>
        <bgColor rgb="FF000000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48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10" borderId="8" xfId="0" applyFont="1" applyFill="1" applyBorder="1" applyAlignment="1">
      <alignment wrapText="1"/>
    </xf>
    <xf numFmtId="14" fontId="14" fillId="10" borderId="8" xfId="0" applyNumberFormat="1" applyFont="1" applyFill="1" applyBorder="1"/>
    <xf numFmtId="0" fontId="14" fillId="11" borderId="9" xfId="0" applyFont="1" applyFill="1" applyBorder="1"/>
    <xf numFmtId="0" fontId="14" fillId="12" borderId="7" xfId="0" applyFont="1" applyFill="1" applyBorder="1"/>
    <xf numFmtId="0" fontId="14" fillId="12" borderId="8" xfId="0" applyFont="1" applyFill="1" applyBorder="1"/>
    <xf numFmtId="0" fontId="14" fillId="12" borderId="8" xfId="0" applyFont="1" applyFill="1" applyBorder="1" applyAlignment="1">
      <alignment wrapText="1"/>
    </xf>
    <xf numFmtId="14" fontId="14" fillId="12" borderId="8" xfId="0" applyNumberFormat="1" applyFont="1" applyFill="1" applyBorder="1"/>
    <xf numFmtId="2" fontId="7" fillId="0" borderId="0" xfId="0" applyNumberFormat="1" applyFont="1" applyAlignment="1">
      <alignment horizontal="right"/>
    </xf>
    <xf numFmtId="0" fontId="14" fillId="10" borderId="0" xfId="0" applyFont="1" applyFill="1"/>
    <xf numFmtId="0" fontId="7" fillId="0" borderId="8" xfId="0" applyFont="1" applyBorder="1"/>
    <xf numFmtId="14" fontId="7" fillId="0" borderId="8" xfId="0" applyNumberFormat="1" applyFont="1" applyBorder="1"/>
    <xf numFmtId="14" fontId="14" fillId="12" borderId="0" xfId="0" applyNumberFormat="1" applyFont="1" applyFill="1"/>
    <xf numFmtId="0" fontId="5" fillId="7" borderId="4" xfId="2" applyFont="1" applyFill="1" applyAlignment="1">
      <alignment horizontal="center"/>
    </xf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ard Christiaan Popova" refreshedDate="45975.498776273147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Blank="1" count="11">
        <s v="Edward"/>
        <s v="Tim"/>
        <s v="Kai"/>
        <s v="Nicky"/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Blank="1" count="9">
        <s v="Requirementsanalyseproces"/>
        <s v="Scrumproces"/>
        <s v="Beheerproces"/>
        <s v="Ontwerpproces"/>
        <s v="Testproces"/>
        <m/>
        <s v="Implementatieproces" u="1"/>
        <s v="Overig" u="1"/>
        <s v="SCRUM_proces" u="1"/>
      </sharedItems>
    </cacheField>
    <cacheField name="Vaaridigheid" numFmtId="0">
      <sharedItems containsBlank="1"/>
    </cacheField>
    <cacheField name="Omschrijving werkzaamheden" numFmtId="0">
      <sharedItems containsBlank="1"/>
    </cacheField>
    <cacheField name="Datum" numFmtId="14">
      <sharedItems containsNonDate="0" containsDate="1" containsString="0" containsBlank="1" minDate="2025-10-11T00:00:00" maxDate="2025-11-15T00:00:00"/>
    </cacheField>
    <cacheField name="Uren" numFmtId="0">
      <sharedItems containsString="0" containsBlank="1" containsNumber="1" minValue="0.25" maxValue="3.5"/>
    </cacheField>
    <cacheField name="Sprint nr" numFmtId="0">
      <sharedItems containsBlank="1" containsMixedTypes="1" containsNumber="1" containsInteger="1" minValue="1" maxValue="9" count="8">
        <s v="Sprint 0"/>
        <m/>
        <n v="1" u="1"/>
        <n v="2" u="1"/>
        <n v="6" u="1"/>
        <n v="7" u="1"/>
        <n v="8" u="1"/>
        <n v="9" u="1"/>
      </sharedItems>
    </cacheField>
    <cacheField name="Activiteit" numFmtId="0">
      <sharedItems containsBlank="1" containsMixedTypes="1" containsNumber="1" containsInteger="1" minValue="0" maxValue="0" count="7">
        <s v="Analyseren"/>
        <s v="Manage &amp; Control"/>
        <s v="Realiseren"/>
        <s v="Ontwerpen"/>
        <m/>
        <s v="Adviseren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s v="Bestuderen  probleemstelling"/>
    <s v="Analyse projectomschrijving en de oplossingsmogelijkheden"/>
    <d v="2025-10-11T00:00:00"/>
    <n v="0.5"/>
    <x v="0"/>
    <x v="0"/>
  </r>
  <r>
    <x v="0"/>
    <x v="0"/>
    <s v="Beschrijven stakeholders"/>
    <s v="Analyse van de users en hun behoeftes &amp; de stakeholders"/>
    <d v="2025-10-11T00:00:00"/>
    <n v="1"/>
    <x v="0"/>
    <x v="0"/>
  </r>
  <r>
    <x v="0"/>
    <x v="0"/>
    <s v="Uitvragen requirements"/>
    <s v="Opstellen van requirements"/>
    <d v="2025-10-11T00:00:00"/>
    <n v="0.5"/>
    <x v="0"/>
    <x v="0"/>
  </r>
  <r>
    <x v="0"/>
    <x v="0"/>
    <s v="Prioriteren requirements"/>
    <s v="Opstellen van requirements"/>
    <d v="2025-10-11T00:00:00"/>
    <n v="0.5"/>
    <x v="0"/>
    <x v="0"/>
  </r>
  <r>
    <x v="0"/>
    <x v="0"/>
    <s v="Vastleggen requirements"/>
    <s v="Opstellen van requirements"/>
    <d v="2025-10-11T00:00:00"/>
    <n v="1"/>
    <x v="0"/>
    <x v="0"/>
  </r>
  <r>
    <x v="0"/>
    <x v="0"/>
    <s v="Opsplitsen functionele en non-functionele requirements"/>
    <s v="Opstellen van requirements"/>
    <d v="2025-10-11T00:00:00"/>
    <n v="0.5"/>
    <x v="0"/>
    <x v="0"/>
  </r>
  <r>
    <x v="0"/>
    <x v="0"/>
    <s v="Maken domeinmodel"/>
    <s v="Opstellen van het Functioneel ontwerp"/>
    <d v="2025-10-11T00:00:00"/>
    <n v="1.5"/>
    <x v="0"/>
    <x v="0"/>
  </r>
  <r>
    <x v="1"/>
    <x v="1"/>
    <s v="Aangeven behoeften"/>
    <s v="Scrumworkshop gevolgd"/>
    <d v="2025-11-11T00:00:00"/>
    <n v="3"/>
    <x v="0"/>
    <x v="1"/>
  </r>
  <r>
    <x v="0"/>
    <x v="1"/>
    <s v="Aangeven behoeften"/>
    <s v="Scrumworkshop gevolgd"/>
    <d v="2025-11-11T00:00:00"/>
    <n v="3"/>
    <x v="0"/>
    <x v="1"/>
  </r>
  <r>
    <x v="2"/>
    <x v="1"/>
    <s v="Aangeven behoeften"/>
    <s v="Scrumworkshop gevolgd"/>
    <d v="2025-11-11T00:00:00"/>
    <n v="3"/>
    <x v="0"/>
    <x v="1"/>
  </r>
  <r>
    <x v="1"/>
    <x v="2"/>
    <s v="Fork maken"/>
    <s v="Git aangemaakt"/>
    <d v="2025-11-11T00:00:00"/>
    <n v="1"/>
    <x v="0"/>
    <x v="1"/>
  </r>
  <r>
    <x v="1"/>
    <x v="1"/>
    <s v="Bepalen werklast"/>
    <s v="Onderzoek en vragen gesteld om opdracht duidelijker te maken voor de groep."/>
    <d v="2025-11-11T00:00:00"/>
    <n v="1"/>
    <x v="0"/>
    <x v="0"/>
  </r>
  <r>
    <x v="1"/>
    <x v="1"/>
    <s v="Reviewen werk"/>
    <s v="Al door requirements en functioneel ontwerp gekeken, feedback wacht tot morgen met product owner."/>
    <d v="2025-11-11T00:00:00"/>
    <n v="0.75"/>
    <x v="0"/>
    <x v="2"/>
  </r>
  <r>
    <x v="0"/>
    <x v="0"/>
    <s v="Organiseren requirements"/>
    <s v="Ontwerp wireframe schermen"/>
    <d v="2025-11-11T00:00:00"/>
    <n v="2"/>
    <x v="0"/>
    <x v="1"/>
  </r>
  <r>
    <x v="0"/>
    <x v="3"/>
    <s v="Uitleg werking systeem"/>
    <s v="Concept van het Technisch Ontwerp opgesteld"/>
    <d v="2025-11-11T00:00:00"/>
    <n v="2"/>
    <x v="0"/>
    <x v="3"/>
  </r>
  <r>
    <x v="1"/>
    <x v="2"/>
    <s v="Inrichten .gitignore"/>
    <s v="Gitignore gemaakt en nagekeken"/>
    <d v="2025-11-11T00:00:00"/>
    <n v="0.5"/>
    <x v="0"/>
    <x v="1"/>
  </r>
  <r>
    <x v="1"/>
    <x v="2"/>
    <s v="Kiezen branchingstrategie"/>
    <s v="Github flow"/>
    <d v="2025-11-11T00:00:00"/>
    <n v="0.25"/>
    <x v="0"/>
    <x v="2"/>
  </r>
  <r>
    <x v="0"/>
    <x v="4"/>
    <s v="Verzamelen testscenarios"/>
    <s v="Opstellen van Testontwerp"/>
    <d v="2025-11-12T00:00:00"/>
    <n v="1"/>
    <x v="0"/>
    <x v="3"/>
  </r>
  <r>
    <x v="0"/>
    <x v="4"/>
    <s v="Verzamelen testcases"/>
    <s v="Opstellen van Testontwerp"/>
    <d v="2025-11-12T00:00:00"/>
    <n v="1"/>
    <x v="0"/>
    <x v="3"/>
  </r>
  <r>
    <x v="0"/>
    <x v="4"/>
    <s v="Opstellen schriftelijke testcase"/>
    <s v="Opstellen van Testontwerp"/>
    <d v="2025-11-12T00:00:00"/>
    <n v="0.5"/>
    <x v="0"/>
    <x v="2"/>
  </r>
  <r>
    <x v="0"/>
    <x v="4"/>
    <s v="Opstellen schriftelijke testcase"/>
    <s v="Opstellen van het concept van het Testrapportage"/>
    <d v="2025-11-12T00:00:00"/>
    <n v="1"/>
    <x v="0"/>
    <x v="2"/>
  </r>
  <r>
    <x v="1"/>
    <x v="1"/>
    <s v="Reviewen werk"/>
    <s v="Review alle documentatie van Edward"/>
    <d v="2025-11-13T00:00:00"/>
    <n v="2"/>
    <x v="0"/>
    <x v="4"/>
  </r>
  <r>
    <x v="1"/>
    <x v="1"/>
    <s v="Feedback geven"/>
    <s v="Feedback geven gebaseert op review"/>
    <d v="2025-11-13T00:00:00"/>
    <n v="0.5"/>
    <x v="0"/>
    <x v="5"/>
  </r>
  <r>
    <x v="0"/>
    <x v="1"/>
    <s v="Feedback ontvangen"/>
    <s v="Review en discussie mbt Feedback team"/>
    <d v="2025-11-13T00:00:00"/>
    <n v="0.5"/>
    <x v="0"/>
    <x v="5"/>
  </r>
  <r>
    <x v="0"/>
    <x v="0"/>
    <s v="Maken domeinmodel"/>
    <s v="Aanpassen en verrijken van het Functioneel ontwerp"/>
    <d v="2025-11-13T00:00:00"/>
    <n v="3.5"/>
    <x v="0"/>
    <x v="0"/>
  </r>
  <r>
    <x v="3"/>
    <x v="1"/>
    <s v="Noteren actiepunten"/>
    <s v="Notities opstellen in de requirement analyse"/>
    <d v="2025-11-13T00:00:00"/>
    <n v="2.5"/>
    <x v="0"/>
    <x v="5"/>
  </r>
  <r>
    <x v="3"/>
    <x v="1"/>
    <s v="Reviewen werk"/>
    <s v="Reviewen Edwards werk"/>
    <d v="2025-11-11T00:00:00"/>
    <n v="0.5"/>
    <x v="0"/>
    <x v="2"/>
  </r>
  <r>
    <x v="3"/>
    <x v="0"/>
    <s v="Bestuderen  probleemstelling"/>
    <s v="Bestuderen opdracht"/>
    <d v="2025-11-11T00:00:00"/>
    <n v="1"/>
    <x v="0"/>
    <x v="0"/>
  </r>
  <r>
    <x v="3"/>
    <x v="1"/>
    <s v="Reviewen werk"/>
    <s v="Reviewen van alle documenten"/>
    <d v="2025-11-14T00:00:00"/>
    <n v="1"/>
    <x v="0"/>
    <x v="2"/>
  </r>
  <r>
    <x v="0"/>
    <x v="1"/>
    <s v="Feedback verwerken"/>
    <s v="Opstellen van het Projectdocument "/>
    <d v="2025-11-14T00:00:00"/>
    <n v="2.5"/>
    <x v="0"/>
    <x v="5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  <r>
    <x v="4"/>
    <x v="5"/>
    <m/>
    <m/>
    <m/>
    <m/>
    <x v="1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26" firstHeaderRow="1" firstDataRow="1" firstDataCol="1"/>
  <pivotFields count="8">
    <pivotField axis="axisRow" showAll="0">
      <items count="12">
        <item h="1" m="1" x="5"/>
        <item h="1" m="1" x="7"/>
        <item h="1" m="1" x="6"/>
        <item h="1" x="4"/>
        <item h="1" m="1" x="9"/>
        <item h="1" m="1" x="10"/>
        <item h="1" m="1" x="8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9">
        <item m="1" x="2"/>
        <item m="1" x="3"/>
        <item m="1" x="4"/>
        <item m="1" x="5"/>
        <item m="1" x="6"/>
        <item m="1" x="7"/>
        <item x="1"/>
        <item x="0"/>
        <item t="default"/>
      </items>
    </pivotField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</pivotFields>
  <rowFields count="3">
    <field x="0"/>
    <field x="6"/>
    <field x="7"/>
  </rowFields>
  <rowItems count="23">
    <i>
      <x v="7"/>
    </i>
    <i r="1">
      <x v="7"/>
    </i>
    <i r="2">
      <x v="1"/>
    </i>
    <i r="2">
      <x v="2"/>
    </i>
    <i r="2">
      <x v="3"/>
    </i>
    <i r="2">
      <x v="4"/>
    </i>
    <i r="2">
      <x v="6"/>
    </i>
    <i>
      <x v="8"/>
    </i>
    <i r="1">
      <x v="7"/>
    </i>
    <i r="2">
      <x v="1"/>
    </i>
    <i r="2">
      <x v="2"/>
    </i>
    <i r="2">
      <x v="3"/>
    </i>
    <i r="2">
      <x v="5"/>
    </i>
    <i r="2">
      <x v="6"/>
    </i>
    <i>
      <x v="9"/>
    </i>
    <i r="1">
      <x v="7"/>
    </i>
    <i r="2">
      <x v="2"/>
    </i>
    <i>
      <x v="10"/>
    </i>
    <i r="1">
      <x v="7"/>
    </i>
    <i r="2">
      <x v="1"/>
    </i>
    <i r="2">
      <x v="3"/>
    </i>
    <i r="2">
      <x v="6"/>
    </i>
    <i t="grand">
      <x/>
    </i>
  </rowItems>
  <colItems count="1">
    <i/>
  </colItems>
  <dataFields count="1">
    <dataField name="Sum of Uren" fld="5" baseField="0" baseItem="0"/>
  </dataFields>
  <formats count="9"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2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24" firstHeaderRow="1" firstDataRow="1" firstDataCol="1"/>
  <pivotFields count="8">
    <pivotField axis="axisRow" showAll="0" sortType="ascending">
      <items count="12">
        <item x="0"/>
        <item h="1" m="1" x="9"/>
        <item h="1" m="1" x="5"/>
        <item x="2"/>
        <item h="1" m="1" x="7"/>
        <item h="1" m="1" x="6"/>
        <item x="3"/>
        <item h="1" m="1" x="10"/>
        <item x="1"/>
        <item m="1" x="8"/>
        <item x="4"/>
        <item t="default"/>
      </items>
    </pivotField>
    <pivotField axis="axisRow" showAll="0">
      <items count="10">
        <item x="2"/>
        <item m="1" x="6"/>
        <item x="3"/>
        <item x="0"/>
        <item x="5"/>
        <item x="4"/>
        <item m="1" x="8"/>
        <item m="1" x="7"/>
        <item x="1"/>
        <item t="default"/>
      </items>
    </pivotField>
    <pivotField showAll="0"/>
    <pivotField showAll="0"/>
    <pivotField showAll="0"/>
    <pivotField dataField="1" showAll="0"/>
    <pivotField axis="axisRow" showAll="0">
      <items count="9">
        <item m="1" x="2"/>
        <item m="1" x="4"/>
        <item m="1" x="5"/>
        <item m="1" x="6"/>
        <item m="1" x="7"/>
        <item x="1"/>
        <item m="1" x="3"/>
        <item x="0"/>
        <item t="default"/>
      </items>
    </pivotField>
    <pivotField showAll="0"/>
  </pivotFields>
  <rowFields count="3">
    <field x="0"/>
    <field x="6"/>
    <field x="1"/>
  </rowFields>
  <rowItems count="21">
    <i>
      <x/>
    </i>
    <i r="1">
      <x v="7"/>
    </i>
    <i r="2">
      <x v="2"/>
    </i>
    <i r="2">
      <x v="3"/>
    </i>
    <i r="2">
      <x v="5"/>
    </i>
    <i r="2">
      <x v="8"/>
    </i>
    <i>
      <x v="3"/>
    </i>
    <i r="1">
      <x v="7"/>
    </i>
    <i r="2">
      <x v="8"/>
    </i>
    <i>
      <x v="6"/>
    </i>
    <i r="1">
      <x v="7"/>
    </i>
    <i r="2">
      <x v="3"/>
    </i>
    <i r="2">
      <x v="8"/>
    </i>
    <i>
      <x v="8"/>
    </i>
    <i r="1">
      <x v="7"/>
    </i>
    <i r="2">
      <x/>
    </i>
    <i r="2">
      <x v="8"/>
    </i>
    <i>
      <x v="10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4"/>
          </reference>
          <reference field="6" count="2">
            <x v="0"/>
            <x v="6"/>
          </reference>
        </references>
      </pivotArea>
    </format>
    <format dxfId="14">
      <pivotArea dataOnly="0" labelOnly="1" fieldPosition="0">
        <references count="2">
          <reference field="0" count="1" selected="0">
            <x v="5"/>
          </reference>
          <reference field="6" count="1">
            <x v="0"/>
          </reference>
        </references>
      </pivotArea>
    </format>
    <format dxfId="13">
      <pivotArea dataOnly="0" labelOnly="1" fieldPosition="0">
        <references count="3">
          <reference field="0" count="1" selected="0">
            <x v="2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12">
      <pivotArea dataOnly="0" labelOnly="1" fieldPosition="0">
        <references count="3">
          <reference field="0" count="1" selected="0">
            <x v="4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11">
      <pivotArea dataOnly="0" labelOnly="1" fieldPosition="0">
        <references count="3">
          <reference field="0" count="1" selected="0">
            <x v="4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0">
      <pivotArea dataOnly="0" labelOnly="1" fieldPosition="0">
        <references count="3">
          <reference field="0" count="1" selected="0">
            <x v="5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9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39" dataDxfId="38">
  <autoFilter ref="B3:I95" xr:uid="{79AAA221-70D5-432F-95A4-0A8FEE9B4953}"/>
  <sortState xmlns:xlrd2="http://schemas.microsoft.com/office/spreadsheetml/2017/richdata2" ref="B4:I95">
    <sortCondition ref="F3:F95"/>
  </sortState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47" t="s">
        <v>1</v>
      </c>
      <c r="C3" s="47"/>
      <c r="D3" s="47"/>
      <c r="E3" s="47"/>
      <c r="F3" s="47"/>
      <c r="G3" s="47"/>
      <c r="H3" s="47"/>
      <c r="I3" s="47"/>
      <c r="J3" s="47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topLeftCell="A25" zoomScale="88" workbookViewId="0">
      <selection activeCell="G35" sqref="G35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33" t="s">
        <v>3</v>
      </c>
      <c r="C4" s="34" t="s">
        <v>36</v>
      </c>
      <c r="D4" s="35" t="s">
        <v>37</v>
      </c>
      <c r="E4" s="35" t="s">
        <v>38</v>
      </c>
      <c r="F4" s="36">
        <v>45941</v>
      </c>
      <c r="G4" s="34">
        <v>0.5</v>
      </c>
      <c r="H4" s="34" t="s">
        <v>39</v>
      </c>
      <c r="I4" s="37" t="s">
        <v>40</v>
      </c>
    </row>
    <row r="5" spans="2:9" ht="28.8" x14ac:dyDescent="0.3">
      <c r="B5" s="38" t="s">
        <v>3</v>
      </c>
      <c r="C5" s="39" t="s">
        <v>36</v>
      </c>
      <c r="D5" s="40" t="s">
        <v>41</v>
      </c>
      <c r="E5" s="40" t="s">
        <v>42</v>
      </c>
      <c r="F5" s="41">
        <v>45941</v>
      </c>
      <c r="G5" s="39">
        <v>1</v>
      </c>
      <c r="H5" s="39" t="s">
        <v>39</v>
      </c>
      <c r="I5" s="37" t="s">
        <v>40</v>
      </c>
    </row>
    <row r="6" spans="2:9" x14ac:dyDescent="0.3">
      <c r="B6" s="33" t="s">
        <v>3</v>
      </c>
      <c r="C6" s="34" t="s">
        <v>36</v>
      </c>
      <c r="D6" s="35" t="s">
        <v>43</v>
      </c>
      <c r="E6" s="35" t="s">
        <v>44</v>
      </c>
      <c r="F6" s="36">
        <v>45941</v>
      </c>
      <c r="G6" s="34">
        <v>0.5</v>
      </c>
      <c r="H6" s="34" t="s">
        <v>39</v>
      </c>
      <c r="I6" s="37" t="s">
        <v>40</v>
      </c>
    </row>
    <row r="7" spans="2:9" x14ac:dyDescent="0.3">
      <c r="B7" s="38" t="s">
        <v>3</v>
      </c>
      <c r="C7" s="39" t="s">
        <v>36</v>
      </c>
      <c r="D7" s="40" t="s">
        <v>45</v>
      </c>
      <c r="E7" s="40" t="s">
        <v>44</v>
      </c>
      <c r="F7" s="41">
        <v>45941</v>
      </c>
      <c r="G7" s="39">
        <v>0.5</v>
      </c>
      <c r="H7" s="39" t="s">
        <v>39</v>
      </c>
      <c r="I7" s="37" t="s">
        <v>40</v>
      </c>
    </row>
    <row r="8" spans="2:9" x14ac:dyDescent="0.3">
      <c r="B8" s="33" t="s">
        <v>3</v>
      </c>
      <c r="C8" s="34" t="s">
        <v>36</v>
      </c>
      <c r="D8" s="35" t="s">
        <v>46</v>
      </c>
      <c r="E8" s="35" t="s">
        <v>44</v>
      </c>
      <c r="F8" s="36">
        <v>45941</v>
      </c>
      <c r="G8" s="34">
        <v>1</v>
      </c>
      <c r="H8" s="34" t="s">
        <v>39</v>
      </c>
      <c r="I8" s="37" t="s">
        <v>40</v>
      </c>
    </row>
    <row r="9" spans="2:9" x14ac:dyDescent="0.3">
      <c r="B9" s="38" t="s">
        <v>3</v>
      </c>
      <c r="C9" s="39" t="s">
        <v>36</v>
      </c>
      <c r="D9" s="40" t="s">
        <v>47</v>
      </c>
      <c r="E9" s="40" t="s">
        <v>44</v>
      </c>
      <c r="F9" s="41">
        <v>45941</v>
      </c>
      <c r="G9" s="39">
        <v>0.5</v>
      </c>
      <c r="H9" s="39" t="s">
        <v>39</v>
      </c>
      <c r="I9" s="37" t="s">
        <v>40</v>
      </c>
    </row>
    <row r="10" spans="2:9" x14ac:dyDescent="0.3">
      <c r="B10" s="33" t="s">
        <v>3</v>
      </c>
      <c r="C10" s="34" t="s">
        <v>36</v>
      </c>
      <c r="D10" s="35" t="s">
        <v>48</v>
      </c>
      <c r="E10" s="35" t="s">
        <v>49</v>
      </c>
      <c r="F10" s="36">
        <v>45941</v>
      </c>
      <c r="G10" s="34">
        <v>1.5</v>
      </c>
      <c r="H10" s="34" t="s">
        <v>39</v>
      </c>
      <c r="I10" s="37" t="s">
        <v>40</v>
      </c>
    </row>
    <row r="11" spans="2:9" x14ac:dyDescent="0.3">
      <c r="B11" s="38" t="s">
        <v>2</v>
      </c>
      <c r="C11" s="39" t="s">
        <v>50</v>
      </c>
      <c r="D11" s="40" t="s">
        <v>51</v>
      </c>
      <c r="E11" s="40" t="s">
        <v>52</v>
      </c>
      <c r="F11" s="41">
        <v>45972</v>
      </c>
      <c r="G11" s="39">
        <v>3</v>
      </c>
      <c r="H11" s="39" t="s">
        <v>39</v>
      </c>
      <c r="I11" s="37" t="s">
        <v>53</v>
      </c>
    </row>
    <row r="12" spans="2:9" x14ac:dyDescent="0.3">
      <c r="B12" s="33" t="s">
        <v>3</v>
      </c>
      <c r="C12" s="34" t="s">
        <v>50</v>
      </c>
      <c r="D12" s="35" t="s">
        <v>51</v>
      </c>
      <c r="E12" s="35" t="s">
        <v>52</v>
      </c>
      <c r="F12" s="36">
        <v>45972</v>
      </c>
      <c r="G12" s="34">
        <v>3</v>
      </c>
      <c r="H12" s="34" t="s">
        <v>39</v>
      </c>
      <c r="I12" s="37" t="s">
        <v>53</v>
      </c>
    </row>
    <row r="13" spans="2:9" x14ac:dyDescent="0.3">
      <c r="B13" s="38" t="s">
        <v>5</v>
      </c>
      <c r="C13" s="39" t="s">
        <v>50</v>
      </c>
      <c r="D13" s="40" t="s">
        <v>51</v>
      </c>
      <c r="E13" s="40" t="s">
        <v>52</v>
      </c>
      <c r="F13" s="41">
        <v>45972</v>
      </c>
      <c r="G13" s="39">
        <v>3</v>
      </c>
      <c r="H13" s="39" t="s">
        <v>39</v>
      </c>
      <c r="I13" s="37" t="s">
        <v>53</v>
      </c>
    </row>
    <row r="14" spans="2:9" x14ac:dyDescent="0.3">
      <c r="B14" s="33" t="s">
        <v>2</v>
      </c>
      <c r="C14" s="34" t="s">
        <v>54</v>
      </c>
      <c r="D14" s="35" t="s">
        <v>55</v>
      </c>
      <c r="E14" s="35" t="s">
        <v>56</v>
      </c>
      <c r="F14" s="36">
        <v>45972</v>
      </c>
      <c r="G14" s="34">
        <v>1</v>
      </c>
      <c r="H14" s="34" t="s">
        <v>39</v>
      </c>
      <c r="I14" s="37" t="s">
        <v>53</v>
      </c>
    </row>
    <row r="15" spans="2:9" ht="28.8" x14ac:dyDescent="0.3">
      <c r="B15" s="38" t="s">
        <v>2</v>
      </c>
      <c r="C15" s="39" t="s">
        <v>50</v>
      </c>
      <c r="D15" s="40" t="s">
        <v>57</v>
      </c>
      <c r="E15" s="40" t="s">
        <v>58</v>
      </c>
      <c r="F15" s="41">
        <v>45972</v>
      </c>
      <c r="G15" s="39">
        <v>1</v>
      </c>
      <c r="H15" s="39" t="s">
        <v>39</v>
      </c>
      <c r="I15" s="37" t="s">
        <v>40</v>
      </c>
    </row>
    <row r="16" spans="2:9" ht="43.2" x14ac:dyDescent="0.3">
      <c r="B16" s="33" t="s">
        <v>2</v>
      </c>
      <c r="C16" s="34" t="s">
        <v>50</v>
      </c>
      <c r="D16" s="35" t="s">
        <v>59</v>
      </c>
      <c r="E16" s="35" t="s">
        <v>60</v>
      </c>
      <c r="F16" s="36">
        <v>45972</v>
      </c>
      <c r="G16" s="34">
        <v>0.75</v>
      </c>
      <c r="H16" s="34" t="s">
        <v>39</v>
      </c>
      <c r="I16" s="37" t="s">
        <v>61</v>
      </c>
    </row>
    <row r="17" spans="2:9" x14ac:dyDescent="0.3">
      <c r="B17" s="2" t="s">
        <v>3</v>
      </c>
      <c r="C17" s="2" t="s">
        <v>36</v>
      </c>
      <c r="D17" s="6" t="s">
        <v>62</v>
      </c>
      <c r="E17" s="6" t="s">
        <v>63</v>
      </c>
      <c r="F17" s="7">
        <v>45972</v>
      </c>
      <c r="G17" s="42">
        <v>2</v>
      </c>
      <c r="H17" s="2" t="s">
        <v>39</v>
      </c>
      <c r="I17" s="9" t="str">
        <f>_xlfn.XLOOKUP(Timeform[[#This Row],[Vaaridigheid]],Lijsten!C:C,Lijsten!A:A)</f>
        <v>Manage &amp; Control</v>
      </c>
    </row>
    <row r="18" spans="2:9" x14ac:dyDescent="0.3">
      <c r="B18" s="2" t="s">
        <v>3</v>
      </c>
      <c r="C18" s="2" t="s">
        <v>64</v>
      </c>
      <c r="D18" s="6" t="s">
        <v>65</v>
      </c>
      <c r="E18" s="6" t="s">
        <v>66</v>
      </c>
      <c r="F18" s="7">
        <v>45972</v>
      </c>
      <c r="G18" s="8">
        <v>2</v>
      </c>
      <c r="H18" s="2" t="s">
        <v>39</v>
      </c>
      <c r="I18" s="9" t="str">
        <f>_xlfn.XLOOKUP(Timeform[[#This Row],[Vaaridigheid]],Lijsten!C:C,Lijsten!A:A)</f>
        <v>Ontwerpen</v>
      </c>
    </row>
    <row r="19" spans="2:9" x14ac:dyDescent="0.3">
      <c r="B19" s="2" t="s">
        <v>2</v>
      </c>
      <c r="C19" s="2" t="s">
        <v>54</v>
      </c>
      <c r="D19" s="6" t="s">
        <v>75</v>
      </c>
      <c r="E19" s="6" t="s">
        <v>140</v>
      </c>
      <c r="F19" s="46">
        <v>45972</v>
      </c>
      <c r="G19" s="8">
        <v>0.5</v>
      </c>
      <c r="H19" s="2" t="s">
        <v>39</v>
      </c>
      <c r="I19" s="9" t="str">
        <f>_xlfn.XLOOKUP(Timeform[[#This Row],[Vaaridigheid]],Lijsten!C:C,Lijsten!A:A)</f>
        <v>Manage &amp; Control</v>
      </c>
    </row>
    <row r="20" spans="2:9" x14ac:dyDescent="0.3">
      <c r="B20" s="2" t="s">
        <v>2</v>
      </c>
      <c r="C20" s="2" t="s">
        <v>54</v>
      </c>
      <c r="D20" s="6" t="s">
        <v>78</v>
      </c>
      <c r="E20" s="6" t="s">
        <v>141</v>
      </c>
      <c r="F20" s="46">
        <v>45972</v>
      </c>
      <c r="G20" s="8">
        <v>0.25</v>
      </c>
      <c r="H20" s="2" t="s">
        <v>39</v>
      </c>
      <c r="I20" s="9" t="str">
        <f>_xlfn.XLOOKUP(Timeform[[#This Row],[Vaaridigheid]],Lijsten!C:C,Lijsten!A:A)</f>
        <v>Realiseren</v>
      </c>
    </row>
    <row r="21" spans="2:9" x14ac:dyDescent="0.3">
      <c r="B21" s="2" t="s">
        <v>3</v>
      </c>
      <c r="C21" s="2" t="s">
        <v>67</v>
      </c>
      <c r="D21" s="6" t="s">
        <v>68</v>
      </c>
      <c r="E21" s="6" t="s">
        <v>69</v>
      </c>
      <c r="F21" s="7">
        <v>45973</v>
      </c>
      <c r="G21" s="8">
        <v>1</v>
      </c>
      <c r="H21" s="2" t="s">
        <v>39</v>
      </c>
      <c r="I21" s="9" t="str">
        <f>_xlfn.XLOOKUP(Timeform[[#This Row],[Vaaridigheid]],Lijsten!C:C,Lijsten!A:A)</f>
        <v>Ontwerpen</v>
      </c>
    </row>
    <row r="22" spans="2:9" x14ac:dyDescent="0.3">
      <c r="B22" s="2" t="s">
        <v>3</v>
      </c>
      <c r="C22" s="2" t="s">
        <v>67</v>
      </c>
      <c r="D22" s="6" t="s">
        <v>70</v>
      </c>
      <c r="E22" s="6" t="s">
        <v>69</v>
      </c>
      <c r="F22" s="7">
        <v>45973</v>
      </c>
      <c r="G22" s="8">
        <v>1</v>
      </c>
      <c r="H22" s="2" t="s">
        <v>39</v>
      </c>
      <c r="I22" s="9" t="str">
        <f>_xlfn.XLOOKUP(Timeform[[#This Row],[Vaaridigheid]],Lijsten!C:C,Lijsten!A:A)</f>
        <v>Ontwerpen</v>
      </c>
    </row>
    <row r="23" spans="2:9" x14ac:dyDescent="0.3">
      <c r="B23" s="2" t="s">
        <v>3</v>
      </c>
      <c r="C23" s="44" t="s">
        <v>67</v>
      </c>
      <c r="D23" s="6" t="s">
        <v>71</v>
      </c>
      <c r="E23" s="6" t="s">
        <v>69</v>
      </c>
      <c r="F23" s="7">
        <v>45973</v>
      </c>
      <c r="G23" s="8">
        <v>0.5</v>
      </c>
      <c r="H23" s="2" t="s">
        <v>39</v>
      </c>
      <c r="I23" s="9" t="str">
        <f>_xlfn.XLOOKUP(Timeform[[#This Row],[Vaaridigheid]],Lijsten!C:C,Lijsten!A:A)</f>
        <v>Realiseren</v>
      </c>
    </row>
    <row r="24" spans="2:9" ht="28.8" x14ac:dyDescent="0.3">
      <c r="B24" s="2" t="s">
        <v>3</v>
      </c>
      <c r="C24" s="44" t="s">
        <v>67</v>
      </c>
      <c r="D24" s="6" t="s">
        <v>71</v>
      </c>
      <c r="E24" s="6" t="s">
        <v>72</v>
      </c>
      <c r="F24" s="7">
        <v>45973</v>
      </c>
      <c r="G24" s="8">
        <v>1</v>
      </c>
      <c r="H24" s="2" t="s">
        <v>39</v>
      </c>
      <c r="I24" s="9" t="str">
        <f>_xlfn.XLOOKUP(Timeform[[#This Row],[Vaaridigheid]],Lijsten!C:C,Lijsten!A:A)</f>
        <v>Realiseren</v>
      </c>
    </row>
    <row r="25" spans="2:9" x14ac:dyDescent="0.3">
      <c r="B25" s="2" t="s">
        <v>2</v>
      </c>
      <c r="C25" s="34" t="s">
        <v>50</v>
      </c>
      <c r="D25" s="6" t="s">
        <v>59</v>
      </c>
      <c r="E25" s="6" t="s">
        <v>142</v>
      </c>
      <c r="F25" s="7">
        <v>45974</v>
      </c>
      <c r="G25" s="8">
        <v>2</v>
      </c>
      <c r="H25" s="2" t="s">
        <v>39</v>
      </c>
      <c r="I25" s="9"/>
    </row>
    <row r="26" spans="2:9" x14ac:dyDescent="0.3">
      <c r="B26" s="2" t="s">
        <v>2</v>
      </c>
      <c r="C26" s="43" t="s">
        <v>50</v>
      </c>
      <c r="D26" s="6" t="s">
        <v>130</v>
      </c>
      <c r="E26" s="6" t="s">
        <v>139</v>
      </c>
      <c r="F26" s="45">
        <v>45974</v>
      </c>
      <c r="G26" s="8">
        <v>0.5</v>
      </c>
      <c r="H26" s="2" t="s">
        <v>39</v>
      </c>
      <c r="I26" s="9" t="str">
        <f>_xlfn.XLOOKUP(Timeform[[#This Row],[Vaaridigheid]],Lijsten!C:C,Lijsten!A:A)</f>
        <v>Adviseren</v>
      </c>
    </row>
    <row r="27" spans="2:9" x14ac:dyDescent="0.3">
      <c r="B27" s="2" t="s">
        <v>3</v>
      </c>
      <c r="C27" s="43" t="s">
        <v>50</v>
      </c>
      <c r="D27" s="6" t="s">
        <v>131</v>
      </c>
      <c r="E27" s="6" t="s">
        <v>143</v>
      </c>
      <c r="F27" s="45">
        <v>45974</v>
      </c>
      <c r="G27" s="8">
        <v>0.5</v>
      </c>
      <c r="H27" s="2" t="s">
        <v>39</v>
      </c>
      <c r="I27" s="9" t="str">
        <f>_xlfn.XLOOKUP(Timeform[[#This Row],[Vaaridigheid]],Lijsten!C:C,Lijsten!A:A)</f>
        <v>Adviseren</v>
      </c>
    </row>
    <row r="28" spans="2:9" ht="28.8" x14ac:dyDescent="0.3">
      <c r="B28" s="2" t="s">
        <v>3</v>
      </c>
      <c r="C28" s="2" t="s">
        <v>36</v>
      </c>
      <c r="D28" s="6" t="s">
        <v>48</v>
      </c>
      <c r="E28" s="6" t="s">
        <v>144</v>
      </c>
      <c r="F28" s="7">
        <v>45974</v>
      </c>
      <c r="G28" s="8">
        <v>3.5</v>
      </c>
      <c r="H28" s="2" t="s">
        <v>39</v>
      </c>
      <c r="I28" s="9" t="str">
        <f>_xlfn.XLOOKUP(Timeform[[#This Row],[Vaaridigheid]],Lijsten!C:C,Lijsten!A:A)</f>
        <v>Analyseren</v>
      </c>
    </row>
    <row r="29" spans="2:9" x14ac:dyDescent="0.3">
      <c r="B29" s="2" t="s">
        <v>7</v>
      </c>
      <c r="C29" s="2" t="s">
        <v>50</v>
      </c>
      <c r="D29" s="6" t="s">
        <v>132</v>
      </c>
      <c r="E29" s="6" t="s">
        <v>145</v>
      </c>
      <c r="F29" s="7">
        <v>45974</v>
      </c>
      <c r="G29" s="8">
        <v>2.5</v>
      </c>
      <c r="H29" s="2" t="s">
        <v>39</v>
      </c>
      <c r="I29" s="9" t="str">
        <f>_xlfn.XLOOKUP(Timeform[[#This Row],[Vaaridigheid]],Lijsten!C:C,Lijsten!A:A)</f>
        <v>Adviseren</v>
      </c>
    </row>
    <row r="30" spans="2:9" x14ac:dyDescent="0.3">
      <c r="B30" s="2" t="s">
        <v>7</v>
      </c>
      <c r="C30" s="2" t="s">
        <v>50</v>
      </c>
      <c r="D30" s="6" t="s">
        <v>59</v>
      </c>
      <c r="E30" s="6" t="s">
        <v>147</v>
      </c>
      <c r="F30" s="7">
        <v>45972</v>
      </c>
      <c r="G30" s="8">
        <v>0.5</v>
      </c>
      <c r="H30" s="2" t="s">
        <v>39</v>
      </c>
      <c r="I30" s="9" t="str">
        <f>_xlfn.XLOOKUP(Timeform[[#This Row],[Vaaridigheid]],Lijsten!C:C,Lijsten!A:A)</f>
        <v>Realiseren</v>
      </c>
    </row>
    <row r="31" spans="2:9" x14ac:dyDescent="0.3">
      <c r="B31" s="2" t="s">
        <v>7</v>
      </c>
      <c r="C31" s="2" t="s">
        <v>36</v>
      </c>
      <c r="D31" s="6" t="s">
        <v>37</v>
      </c>
      <c r="E31" s="6" t="s">
        <v>146</v>
      </c>
      <c r="F31" s="7">
        <v>45972</v>
      </c>
      <c r="G31" s="8">
        <v>1</v>
      </c>
      <c r="H31" s="2" t="s">
        <v>39</v>
      </c>
      <c r="I31" s="9" t="str">
        <f>_xlfn.XLOOKUP(Timeform[[#This Row],[Vaaridigheid]],Lijsten!C:C,Lijsten!A:A)</f>
        <v>Analyseren</v>
      </c>
    </row>
    <row r="32" spans="2:9" x14ac:dyDescent="0.3">
      <c r="B32" s="2" t="s">
        <v>7</v>
      </c>
      <c r="C32" s="2" t="s">
        <v>50</v>
      </c>
      <c r="D32" s="6" t="s">
        <v>59</v>
      </c>
      <c r="E32" s="6" t="s">
        <v>148</v>
      </c>
      <c r="F32" s="7">
        <v>45975</v>
      </c>
      <c r="G32" s="8">
        <v>1</v>
      </c>
      <c r="H32" s="2" t="s">
        <v>39</v>
      </c>
      <c r="I32" s="9" t="str">
        <f>_xlfn.XLOOKUP(Timeform[[#This Row],[Vaaridigheid]],Lijsten!C:C,Lijsten!A:A)</f>
        <v>Realiseren</v>
      </c>
    </row>
    <row r="33" spans="2:9" x14ac:dyDescent="0.3">
      <c r="B33" s="2" t="s">
        <v>3</v>
      </c>
      <c r="C33" s="2" t="s">
        <v>50</v>
      </c>
      <c r="D33" s="6" t="s">
        <v>128</v>
      </c>
      <c r="E33" s="6" t="s">
        <v>149</v>
      </c>
      <c r="F33" s="7">
        <v>45975</v>
      </c>
      <c r="G33" s="8">
        <v>2.5</v>
      </c>
      <c r="H33" s="2" t="s">
        <v>39</v>
      </c>
      <c r="I33" s="9" t="str">
        <f>_xlfn.XLOOKUP(Timeform[[#This Row],[Vaaridigheid]],Lijsten!C:C,Lijsten!A:A)</f>
        <v>Adviseren</v>
      </c>
    </row>
    <row r="34" spans="2:9" x14ac:dyDescent="0.3">
      <c r="B34" s="2" t="s">
        <v>2</v>
      </c>
      <c r="C34" s="2" t="s">
        <v>50</v>
      </c>
      <c r="D34" s="6" t="s">
        <v>119</v>
      </c>
      <c r="E34" s="6" t="s">
        <v>150</v>
      </c>
      <c r="F34" s="7">
        <v>45975</v>
      </c>
      <c r="G34" s="8">
        <v>0.5</v>
      </c>
      <c r="H34" s="2" t="s">
        <v>39</v>
      </c>
      <c r="I34" s="9" t="str">
        <f>_xlfn.XLOOKUP(Timeform[[#This Row],[Vaaridigheid]],Lijsten!C:C,Lijsten!A:A)</f>
        <v>Analyseren</v>
      </c>
    </row>
    <row r="35" spans="2:9" x14ac:dyDescent="0.3">
      <c r="B35" s="2" t="s">
        <v>2</v>
      </c>
      <c r="C35" s="2" t="s">
        <v>50</v>
      </c>
      <c r="D35" s="6" t="s">
        <v>59</v>
      </c>
      <c r="E35" s="6" t="s">
        <v>151</v>
      </c>
      <c r="F35" s="7">
        <v>45975</v>
      </c>
      <c r="G35" s="8">
        <v>0.75</v>
      </c>
      <c r="H35" s="2" t="s">
        <v>39</v>
      </c>
      <c r="I35" s="9" t="str">
        <f>_xlfn.XLOOKUP(Timeform[[#This Row],[Vaaridigheid]],Lijsten!C:C,Lijsten!A:A)</f>
        <v>Realiseren</v>
      </c>
    </row>
    <row r="36" spans="2:9" x14ac:dyDescent="0.3">
      <c r="B36" s="2" t="s">
        <v>2</v>
      </c>
      <c r="C36" s="2" t="s">
        <v>54</v>
      </c>
      <c r="D36" s="6" t="s">
        <v>77</v>
      </c>
      <c r="E36" s="6" t="s">
        <v>152</v>
      </c>
      <c r="F36" s="7">
        <v>45975</v>
      </c>
      <c r="G36" s="8">
        <v>0.75</v>
      </c>
      <c r="H36" s="2" t="s">
        <v>39</v>
      </c>
      <c r="I36" s="9" t="str">
        <f>_xlfn.XLOOKUP(Timeform[[#This Row],[Vaaridigheid]],Lijsten!C:C,Lijsten!A:A)</f>
        <v>Realiseren</v>
      </c>
    </row>
    <row r="37" spans="2:9" x14ac:dyDescent="0.3">
      <c r="D37" s="6"/>
      <c r="E37" s="6"/>
      <c r="F37" s="7"/>
      <c r="G37" s="8"/>
      <c r="I37" s="9">
        <f>_xlfn.XLOOKUP(Timeform[[#This Row],[Vaaridigheid]],Lijsten!C:C,Lijsten!A:A)</f>
        <v>0</v>
      </c>
    </row>
    <row r="38" spans="2:9" x14ac:dyDescent="0.3">
      <c r="D38" s="6"/>
      <c r="E38" s="6"/>
      <c r="F38" s="7"/>
      <c r="G38" s="8"/>
      <c r="I38" s="9">
        <f>_xlfn.XLOOKUP(Timeform[[#This Row],[Vaaridigheid]],Lijsten!C:C,Lijsten!A:A)</f>
        <v>0</v>
      </c>
    </row>
    <row r="39" spans="2:9" x14ac:dyDescent="0.3">
      <c r="D39" s="6"/>
      <c r="E39" s="6"/>
      <c r="F39" s="7"/>
      <c r="G39" s="8"/>
      <c r="I39" s="9">
        <f>_xlfn.XLOOKUP(Timeform[[#This Row],[Vaaridigheid]],Lijsten!C:C,Lijsten!A:A)</f>
        <v>0</v>
      </c>
    </row>
    <row r="40" spans="2:9" x14ac:dyDescent="0.3">
      <c r="D40" s="6"/>
      <c r="E40" s="6"/>
      <c r="F40" s="7"/>
      <c r="G40" s="8"/>
      <c r="I40" s="9">
        <f>_xlfn.XLOOKUP(Timeform[[#This Row],[Vaaridigheid]],Lijsten!C:C,Lijsten!A:A)</f>
        <v>0</v>
      </c>
    </row>
    <row r="41" spans="2:9" x14ac:dyDescent="0.3">
      <c r="D41" s="6"/>
      <c r="E41" s="6"/>
      <c r="F41" s="7"/>
      <c r="G41" s="8"/>
      <c r="I41" s="9">
        <f>_xlfn.XLOOKUP(Timeform[[#This Row],[Vaaridigheid]],Lijsten!C:C,Lijsten!A:A)</f>
        <v>0</v>
      </c>
    </row>
    <row r="42" spans="2:9" x14ac:dyDescent="0.3">
      <c r="D42" s="6"/>
      <c r="E42" s="6"/>
      <c r="F42" s="7"/>
      <c r="G42" s="8"/>
      <c r="I42" s="9">
        <f>_xlfn.XLOOKUP(Timeform[[#This Row],[Vaaridigheid]],Lijsten!C:C,Lijsten!A:A)</f>
        <v>0</v>
      </c>
    </row>
    <row r="43" spans="2:9" x14ac:dyDescent="0.3">
      <c r="D43" s="6"/>
      <c r="E43" s="6"/>
      <c r="F43" s="7"/>
      <c r="G43" s="8"/>
      <c r="I43" s="9">
        <f>_xlfn.XLOOKUP(Timeform[[#This Row],[Vaaridigheid]],Lijsten!C:C,Lijsten!A:A)</f>
        <v>0</v>
      </c>
    </row>
    <row r="44" spans="2:9" x14ac:dyDescent="0.3">
      <c r="D44" s="6"/>
      <c r="E44" s="6"/>
      <c r="F44" s="7"/>
      <c r="G44" s="8"/>
      <c r="I44" s="9">
        <f>_xlfn.XLOOKUP(Timeform[[#This Row],[Vaaridigheid]],Lijsten!C:C,Lijsten!A:A)</f>
        <v>0</v>
      </c>
    </row>
    <row r="45" spans="2:9" x14ac:dyDescent="0.3">
      <c r="D45" s="6"/>
      <c r="E45" s="6"/>
      <c r="F45" s="7"/>
      <c r="G45" s="8"/>
      <c r="I45" s="9">
        <f>_xlfn.XLOOKUP(Timeform[[#This Row],[Vaaridigheid]],Lijsten!C:C,Lijsten!A:A)</f>
        <v>0</v>
      </c>
    </row>
    <row r="46" spans="2:9" x14ac:dyDescent="0.3">
      <c r="D46" s="6"/>
      <c r="E46" s="6"/>
      <c r="F46" s="7"/>
      <c r="G46" s="8"/>
      <c r="I46" s="9">
        <f>_xlfn.XLOOKUP(Timeform[[#This Row],[Vaaridigheid]],Lijsten!C:C,Lijsten!A:A)</f>
        <v>0</v>
      </c>
    </row>
    <row r="47" spans="2:9" x14ac:dyDescent="0.3">
      <c r="D47" s="6"/>
      <c r="E47" s="6"/>
      <c r="F47" s="7"/>
      <c r="G47" s="8"/>
      <c r="I47" s="9">
        <f>_xlfn.XLOOKUP(Timeform[[#This Row],[Vaaridigheid]],Lijsten!C:C,Lijsten!A:A)</f>
        <v>0</v>
      </c>
    </row>
    <row r="48" spans="2:9" x14ac:dyDescent="0.3">
      <c r="D48" s="6"/>
      <c r="E48" s="6"/>
      <c r="F48" s="7"/>
      <c r="G48" s="8"/>
      <c r="I48" s="9">
        <f>_xlfn.XLOOKUP(Timeform[[#This Row],[Vaaridigheid]],Lijsten!C:C,Lijsten!A:A)</f>
        <v>0</v>
      </c>
    </row>
    <row r="49" spans="4:9" x14ac:dyDescent="0.3">
      <c r="D49" s="6"/>
      <c r="E49" s="6"/>
      <c r="F49" s="7"/>
      <c r="G49" s="8"/>
      <c r="I49" s="9">
        <f>_xlfn.XLOOKUP(Timeform[[#This Row],[Vaaridigheid]],Lijsten!C:C,Lijsten!A:A)</f>
        <v>0</v>
      </c>
    </row>
    <row r="50" spans="4:9" x14ac:dyDescent="0.3">
      <c r="D50" s="6"/>
      <c r="E50" s="6"/>
      <c r="F50" s="7"/>
      <c r="G50" s="8"/>
      <c r="I50" s="9">
        <f>_xlfn.XLOOKUP(Timeform[[#This Row],[Vaaridigheid]],Lijsten!C:C,Lijsten!A:A)</f>
        <v>0</v>
      </c>
    </row>
    <row r="51" spans="4:9" x14ac:dyDescent="0.3">
      <c r="D51" s="6"/>
      <c r="E51" s="6"/>
      <c r="F51" s="7"/>
      <c r="G51" s="8"/>
      <c r="I51" s="9">
        <f>_xlfn.XLOOKUP(Timeform[[#This Row],[Vaaridigheid]],Lijsten!C:C,Lijsten!A:A)</f>
        <v>0</v>
      </c>
    </row>
    <row r="52" spans="4:9" x14ac:dyDescent="0.3">
      <c r="D52" s="6"/>
      <c r="E52" s="6"/>
      <c r="F52" s="7"/>
      <c r="G52" s="8"/>
      <c r="I52" s="9">
        <f>_xlfn.XLOOKUP(Timeform[[#This Row],[Vaaridigheid]],Lijsten!C:C,Lijsten!A:A)</f>
        <v>0</v>
      </c>
    </row>
    <row r="53" spans="4:9" x14ac:dyDescent="0.3">
      <c r="D53" s="6"/>
      <c r="E53" s="6"/>
      <c r="F53" s="7"/>
      <c r="G53" s="8"/>
      <c r="I53" s="9">
        <f>_xlfn.XLOOKUP(Timeform[[#This Row],[Vaaridigheid]],Lijsten!C:C,Lijsten!A:A)</f>
        <v>0</v>
      </c>
    </row>
    <row r="54" spans="4:9" x14ac:dyDescent="0.3">
      <c r="D54" s="6"/>
      <c r="E54" s="6"/>
      <c r="F54" s="7"/>
      <c r="G54" s="8"/>
      <c r="I54" s="9">
        <f>_xlfn.XLOOKUP(Timeform[[#This Row],[Vaaridigheid]],Lijsten!C:C,Lijsten!A:A)</f>
        <v>0</v>
      </c>
    </row>
    <row r="55" spans="4:9" x14ac:dyDescent="0.3">
      <c r="D55" s="6"/>
      <c r="E55" s="6"/>
      <c r="F55" s="7"/>
      <c r="G55" s="8"/>
      <c r="I55" s="9">
        <f>_xlfn.XLOOKUP(Timeform[[#This Row],[Vaaridigheid]],Lijsten!C:C,Lijsten!A:A)</f>
        <v>0</v>
      </c>
    </row>
    <row r="56" spans="4:9" x14ac:dyDescent="0.3">
      <c r="D56" s="6"/>
      <c r="E56" s="6"/>
      <c r="F56" s="7"/>
      <c r="G56" s="8"/>
      <c r="I56" s="9">
        <f>_xlfn.XLOOKUP(Timeform[[#This Row],[Vaaridigheid]],Lijsten!C:C,Lijsten!A:A)</f>
        <v>0</v>
      </c>
    </row>
    <row r="57" spans="4:9" x14ac:dyDescent="0.3">
      <c r="D57" s="6"/>
      <c r="E57" s="6"/>
      <c r="F57" s="7"/>
      <c r="G57" s="8"/>
      <c r="I57" s="9">
        <f>_xlfn.XLOOKUP(Timeform[[#This Row],[Vaaridigheid]],Lijsten!C:C,Lijsten!A:A)</f>
        <v>0</v>
      </c>
    </row>
    <row r="58" spans="4:9" x14ac:dyDescent="0.3">
      <c r="D58" s="6"/>
      <c r="E58" s="6"/>
      <c r="F58" s="7"/>
      <c r="G58" s="8"/>
      <c r="I58" s="9">
        <f>_xlfn.XLOOKUP(Timeform[[#This Row],[Vaaridigheid]],Lijsten!C:C,Lijsten!A:A)</f>
        <v>0</v>
      </c>
    </row>
    <row r="59" spans="4:9" x14ac:dyDescent="0.3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4:9" x14ac:dyDescent="0.3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4:9" x14ac:dyDescent="0.3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4:9" x14ac:dyDescent="0.3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4:9" x14ac:dyDescent="0.3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4:9" x14ac:dyDescent="0.3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 x14ac:dyDescent="0.3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 x14ac:dyDescent="0.3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 x14ac:dyDescent="0.3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 x14ac:dyDescent="0.3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 x14ac:dyDescent="0.3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 x14ac:dyDescent="0.3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 x14ac:dyDescent="0.3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 x14ac:dyDescent="0.3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 x14ac:dyDescent="0.3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 x14ac:dyDescent="0.3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 x14ac:dyDescent="0.3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 x14ac:dyDescent="0.3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 x14ac:dyDescent="0.3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 x14ac:dyDescent="0.3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 x14ac:dyDescent="0.3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 x14ac:dyDescent="0.3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 x14ac:dyDescent="0.3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 x14ac:dyDescent="0.3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 x14ac:dyDescent="0.3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 x14ac:dyDescent="0.3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 x14ac:dyDescent="0.3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 x14ac:dyDescent="0.3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 x14ac:dyDescent="0.3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 x14ac:dyDescent="0.3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 x14ac:dyDescent="0.3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 x14ac:dyDescent="0.3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 x14ac:dyDescent="0.3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 x14ac:dyDescent="0.3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 x14ac:dyDescent="0.3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 x14ac:dyDescent="0.3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 x14ac:dyDescent="0.3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17:C22 C26:C95" xr:uid="{3B679F63-E7A4-46B9-9422-CC7BFD34CF75}">
      <formula1>INDIRECT("Processen[Proces]")</formula1>
    </dataValidation>
    <dataValidation type="list" allowBlank="1" showInputMessage="1" showErrorMessage="1" sqref="D17:D95" xr:uid="{FD0BF9B2-059A-4084-AFBD-930A41BBA88F}">
      <formula1>INDIRECT(C17)</formula1>
    </dataValidation>
    <dataValidation type="list" allowBlank="1" showInputMessage="1" showErrorMessage="1" sqref="B17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Lijsten!G28</xm:f>
          </x14:formula1>
          <xm:sqref>F17:F25 F28:F95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4" workbookViewId="0">
      <selection activeCell="A18" sqref="A18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441406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15" spans="1:7" x14ac:dyDescent="0.3">
      <c r="A15" s="10" t="s">
        <v>35</v>
      </c>
      <c r="B15" s="10" t="s">
        <v>29</v>
      </c>
      <c r="C15" s="10" t="s">
        <v>73</v>
      </c>
      <c r="G15" s="7"/>
    </row>
    <row r="16" spans="1:7" x14ac:dyDescent="0.3">
      <c r="A16" s="11" t="s">
        <v>53</v>
      </c>
      <c r="B16" s="11" t="s">
        <v>54</v>
      </c>
      <c r="C16" s="22" t="s">
        <v>55</v>
      </c>
    </row>
    <row r="17" spans="1:3" x14ac:dyDescent="0.3">
      <c r="A17" s="11" t="s">
        <v>53</v>
      </c>
      <c r="B17" s="11" t="s">
        <v>54</v>
      </c>
      <c r="C17" s="22" t="s">
        <v>74</v>
      </c>
    </row>
    <row r="18" spans="1:3" x14ac:dyDescent="0.3">
      <c r="A18" s="11" t="s">
        <v>53</v>
      </c>
      <c r="B18" s="11" t="s">
        <v>54</v>
      </c>
      <c r="C18" s="22" t="s">
        <v>75</v>
      </c>
    </row>
    <row r="19" spans="1:3" x14ac:dyDescent="0.3">
      <c r="A19" s="11" t="s">
        <v>61</v>
      </c>
      <c r="B19" s="11" t="s">
        <v>54</v>
      </c>
      <c r="C19" s="22" t="s">
        <v>76</v>
      </c>
    </row>
    <row r="20" spans="1:3" x14ac:dyDescent="0.3">
      <c r="A20" s="13" t="s">
        <v>61</v>
      </c>
      <c r="B20" s="13" t="s">
        <v>54</v>
      </c>
      <c r="C20" s="23" t="s">
        <v>77</v>
      </c>
    </row>
    <row r="21" spans="1:3" x14ac:dyDescent="0.3">
      <c r="A21" s="11" t="s">
        <v>61</v>
      </c>
      <c r="B21" s="11" t="s">
        <v>54</v>
      </c>
      <c r="C21" s="22" t="s">
        <v>78</v>
      </c>
    </row>
    <row r="22" spans="1:3" x14ac:dyDescent="0.3">
      <c r="A22" s="11" t="s">
        <v>61</v>
      </c>
      <c r="B22" s="11" t="s">
        <v>54</v>
      </c>
      <c r="C22" s="22" t="s">
        <v>79</v>
      </c>
    </row>
    <row r="23" spans="1:3" x14ac:dyDescent="0.3">
      <c r="A23" s="11" t="s">
        <v>61</v>
      </c>
      <c r="B23" s="11" t="s">
        <v>54</v>
      </c>
      <c r="C23" s="22" t="s">
        <v>80</v>
      </c>
    </row>
    <row r="24" spans="1:3" x14ac:dyDescent="0.3">
      <c r="A24" s="11" t="s">
        <v>61</v>
      </c>
      <c r="B24" s="11" t="s">
        <v>54</v>
      </c>
      <c r="C24" s="22" t="s">
        <v>81</v>
      </c>
    </row>
    <row r="25" spans="1:3" x14ac:dyDescent="0.3">
      <c r="A25" s="13" t="s">
        <v>61</v>
      </c>
      <c r="B25" s="13" t="s">
        <v>54</v>
      </c>
      <c r="C25" s="23" t="s">
        <v>82</v>
      </c>
    </row>
    <row r="26" spans="1:3" x14ac:dyDescent="0.3">
      <c r="A26" s="11" t="s">
        <v>83</v>
      </c>
      <c r="B26" s="11" t="s">
        <v>67</v>
      </c>
      <c r="C26" s="22" t="s">
        <v>84</v>
      </c>
    </row>
    <row r="27" spans="1:3" x14ac:dyDescent="0.3">
      <c r="A27" s="11" t="s">
        <v>83</v>
      </c>
      <c r="B27" s="11" t="s">
        <v>67</v>
      </c>
      <c r="C27" s="22" t="s">
        <v>68</v>
      </c>
    </row>
    <row r="28" spans="1:3" x14ac:dyDescent="0.3">
      <c r="A28" s="11" t="s">
        <v>83</v>
      </c>
      <c r="B28" s="11" t="s">
        <v>67</v>
      </c>
      <c r="C28" s="22" t="s">
        <v>70</v>
      </c>
    </row>
    <row r="29" spans="1:3" x14ac:dyDescent="0.3">
      <c r="A29" s="11" t="s">
        <v>83</v>
      </c>
      <c r="B29" s="11" t="s">
        <v>67</v>
      </c>
      <c r="C29" s="22" t="s">
        <v>85</v>
      </c>
    </row>
    <row r="30" spans="1:3" x14ac:dyDescent="0.3">
      <c r="A30" s="11" t="s">
        <v>61</v>
      </c>
      <c r="B30" s="11" t="s">
        <v>67</v>
      </c>
      <c r="C30" s="22" t="s">
        <v>71</v>
      </c>
    </row>
    <row r="31" spans="1:3" x14ac:dyDescent="0.3">
      <c r="A31" s="11" t="s">
        <v>61</v>
      </c>
      <c r="B31" s="11" t="s">
        <v>67</v>
      </c>
      <c r="C31" s="22" t="s">
        <v>86</v>
      </c>
    </row>
    <row r="32" spans="1:3" x14ac:dyDescent="0.3">
      <c r="A32" s="11" t="s">
        <v>61</v>
      </c>
      <c r="B32" s="11" t="s">
        <v>67</v>
      </c>
      <c r="C32" s="22" t="s">
        <v>87</v>
      </c>
    </row>
    <row r="33" spans="1:3" x14ac:dyDescent="0.3">
      <c r="A33" s="11" t="s">
        <v>61</v>
      </c>
      <c r="B33" s="11" t="s">
        <v>67</v>
      </c>
      <c r="C33" s="22" t="s">
        <v>88</v>
      </c>
    </row>
    <row r="34" spans="1:3" x14ac:dyDescent="0.3">
      <c r="A34" s="11" t="s">
        <v>89</v>
      </c>
      <c r="B34" s="11" t="s">
        <v>67</v>
      </c>
      <c r="C34" s="22" t="s">
        <v>90</v>
      </c>
    </row>
    <row r="35" spans="1:3" x14ac:dyDescent="0.3">
      <c r="A35" s="14" t="s">
        <v>89</v>
      </c>
      <c r="B35" s="13" t="s">
        <v>67</v>
      </c>
      <c r="C35" s="23" t="s">
        <v>90</v>
      </c>
    </row>
    <row r="36" spans="1:3" x14ac:dyDescent="0.3">
      <c r="A36" s="11" t="s">
        <v>61</v>
      </c>
      <c r="B36" s="11" t="s">
        <v>91</v>
      </c>
      <c r="C36" s="22" t="s">
        <v>92</v>
      </c>
    </row>
    <row r="37" spans="1:3" x14ac:dyDescent="0.3">
      <c r="A37" s="11" t="s">
        <v>61</v>
      </c>
      <c r="B37" s="11" t="s">
        <v>91</v>
      </c>
      <c r="C37" s="22" t="s">
        <v>93</v>
      </c>
    </row>
    <row r="38" spans="1:3" x14ac:dyDescent="0.3">
      <c r="A38" s="11" t="s">
        <v>61</v>
      </c>
      <c r="B38" s="11" t="s">
        <v>91</v>
      </c>
      <c r="C38" s="22" t="s">
        <v>94</v>
      </c>
    </row>
    <row r="39" spans="1:3" x14ac:dyDescent="0.3">
      <c r="A39" s="11" t="s">
        <v>61</v>
      </c>
      <c r="B39" s="11" t="s">
        <v>91</v>
      </c>
      <c r="C39" s="22" t="s">
        <v>95</v>
      </c>
    </row>
    <row r="40" spans="1:3" x14ac:dyDescent="0.3">
      <c r="A40" s="11" t="s">
        <v>61</v>
      </c>
      <c r="B40" s="11" t="s">
        <v>91</v>
      </c>
      <c r="C40" s="22" t="s">
        <v>96</v>
      </c>
    </row>
    <row r="41" spans="1:3" x14ac:dyDescent="0.3">
      <c r="A41" s="11" t="s">
        <v>61</v>
      </c>
      <c r="B41" s="11" t="s">
        <v>91</v>
      </c>
      <c r="C41" s="22" t="s">
        <v>97</v>
      </c>
    </row>
    <row r="42" spans="1:3" x14ac:dyDescent="0.3">
      <c r="A42" s="11" t="s">
        <v>61</v>
      </c>
      <c r="B42" s="11" t="s">
        <v>91</v>
      </c>
      <c r="C42" s="22" t="s">
        <v>98</v>
      </c>
    </row>
    <row r="43" spans="1:3" x14ac:dyDescent="0.3">
      <c r="A43" s="11" t="s">
        <v>61</v>
      </c>
      <c r="B43" s="11" t="s">
        <v>91</v>
      </c>
      <c r="C43" s="22" t="s">
        <v>99</v>
      </c>
    </row>
    <row r="44" spans="1:3" x14ac:dyDescent="0.3">
      <c r="A44" s="13" t="s">
        <v>61</v>
      </c>
      <c r="B44" s="13" t="s">
        <v>91</v>
      </c>
      <c r="C44" s="23" t="s">
        <v>100</v>
      </c>
    </row>
    <row r="45" spans="1:3" x14ac:dyDescent="0.3">
      <c r="A45" s="11" t="s">
        <v>83</v>
      </c>
      <c r="B45" s="11" t="s">
        <v>64</v>
      </c>
      <c r="C45" s="22" t="s">
        <v>65</v>
      </c>
    </row>
    <row r="46" spans="1:3" x14ac:dyDescent="0.3">
      <c r="A46" s="11" t="s">
        <v>83</v>
      </c>
      <c r="B46" s="11" t="s">
        <v>64</v>
      </c>
      <c r="C46" s="22" t="s">
        <v>101</v>
      </c>
    </row>
    <row r="47" spans="1:3" x14ac:dyDescent="0.3">
      <c r="A47" s="11" t="s">
        <v>83</v>
      </c>
      <c r="B47" s="11" t="s">
        <v>64</v>
      </c>
      <c r="C47" s="22" t="s">
        <v>102</v>
      </c>
    </row>
    <row r="48" spans="1:3" x14ac:dyDescent="0.3">
      <c r="A48" s="11" t="s">
        <v>83</v>
      </c>
      <c r="B48" s="11" t="s">
        <v>64</v>
      </c>
      <c r="C48" s="22" t="s">
        <v>103</v>
      </c>
    </row>
    <row r="49" spans="1:3" x14ac:dyDescent="0.3">
      <c r="A49" s="11" t="s">
        <v>83</v>
      </c>
      <c r="B49" s="11" t="s">
        <v>64</v>
      </c>
      <c r="C49" s="22" t="s">
        <v>104</v>
      </c>
    </row>
    <row r="50" spans="1:3" x14ac:dyDescent="0.3">
      <c r="A50" s="11" t="s">
        <v>83</v>
      </c>
      <c r="B50" s="11" t="s">
        <v>64</v>
      </c>
      <c r="C50" s="22" t="s">
        <v>105</v>
      </c>
    </row>
    <row r="51" spans="1:3" x14ac:dyDescent="0.3">
      <c r="A51" s="11" t="s">
        <v>89</v>
      </c>
      <c r="B51" s="11" t="s">
        <v>64</v>
      </c>
      <c r="C51" s="22" t="s">
        <v>106</v>
      </c>
    </row>
    <row r="52" spans="1:3" x14ac:dyDescent="0.3">
      <c r="A52" s="15" t="s">
        <v>89</v>
      </c>
      <c r="B52" s="13" t="s">
        <v>64</v>
      </c>
      <c r="C52" s="23" t="s">
        <v>107</v>
      </c>
    </row>
    <row r="53" spans="1:3" x14ac:dyDescent="0.3">
      <c r="A53" s="11" t="s">
        <v>40</v>
      </c>
      <c r="B53" s="11" t="s">
        <v>36</v>
      </c>
      <c r="C53" s="22" t="s">
        <v>48</v>
      </c>
    </row>
    <row r="54" spans="1:3" x14ac:dyDescent="0.3">
      <c r="A54" s="11" t="s">
        <v>40</v>
      </c>
      <c r="B54" s="11" t="s">
        <v>36</v>
      </c>
      <c r="C54" s="22" t="s">
        <v>37</v>
      </c>
    </row>
    <row r="55" spans="1:3" x14ac:dyDescent="0.3">
      <c r="A55" s="11" t="s">
        <v>40</v>
      </c>
      <c r="B55" s="11" t="s">
        <v>36</v>
      </c>
      <c r="C55" s="22" t="s">
        <v>41</v>
      </c>
    </row>
    <row r="56" spans="1:3" x14ac:dyDescent="0.3">
      <c r="A56" s="11" t="s">
        <v>40</v>
      </c>
      <c r="B56" s="11" t="s">
        <v>36</v>
      </c>
      <c r="C56" s="22" t="s">
        <v>43</v>
      </c>
    </row>
    <row r="57" spans="1:3" x14ac:dyDescent="0.3">
      <c r="A57" s="11" t="s">
        <v>40</v>
      </c>
      <c r="B57" s="11" t="s">
        <v>36</v>
      </c>
      <c r="C57" s="22" t="s">
        <v>108</v>
      </c>
    </row>
    <row r="58" spans="1:3" x14ac:dyDescent="0.3">
      <c r="A58" s="11" t="s">
        <v>40</v>
      </c>
      <c r="B58" s="11" t="s">
        <v>36</v>
      </c>
      <c r="C58" s="22" t="s">
        <v>45</v>
      </c>
    </row>
    <row r="59" spans="1:3" x14ac:dyDescent="0.3">
      <c r="A59" s="11" t="s">
        <v>40</v>
      </c>
      <c r="B59" s="11" t="s">
        <v>36</v>
      </c>
      <c r="C59" s="22" t="s">
        <v>109</v>
      </c>
    </row>
    <row r="60" spans="1:3" x14ac:dyDescent="0.3">
      <c r="A60" s="11" t="s">
        <v>40</v>
      </c>
      <c r="B60" s="11" t="s">
        <v>36</v>
      </c>
      <c r="C60" s="22" t="s">
        <v>46</v>
      </c>
    </row>
    <row r="61" spans="1:3" x14ac:dyDescent="0.3">
      <c r="A61" s="11" t="s">
        <v>40</v>
      </c>
      <c r="B61" s="11" t="s">
        <v>36</v>
      </c>
      <c r="C61" s="22" t="s">
        <v>47</v>
      </c>
    </row>
    <row r="62" spans="1:3" x14ac:dyDescent="0.3">
      <c r="A62" s="16" t="s">
        <v>89</v>
      </c>
      <c r="B62" s="11" t="s">
        <v>36</v>
      </c>
      <c r="C62" s="22" t="s">
        <v>110</v>
      </c>
    </row>
    <row r="63" spans="1:3" x14ac:dyDescent="0.3">
      <c r="A63" s="13" t="s">
        <v>53</v>
      </c>
      <c r="B63" s="13" t="s">
        <v>36</v>
      </c>
      <c r="C63" s="23" t="s">
        <v>62</v>
      </c>
    </row>
    <row r="64" spans="1:3" x14ac:dyDescent="0.3">
      <c r="A64" s="12" t="s">
        <v>53</v>
      </c>
      <c r="B64" s="17" t="s">
        <v>50</v>
      </c>
      <c r="C64" s="24" t="s">
        <v>51</v>
      </c>
    </row>
    <row r="65" spans="1:3" x14ac:dyDescent="0.3">
      <c r="A65" s="12" t="s">
        <v>53</v>
      </c>
      <c r="B65" s="17" t="s">
        <v>50</v>
      </c>
      <c r="C65" s="22" t="s">
        <v>111</v>
      </c>
    </row>
    <row r="66" spans="1:3" x14ac:dyDescent="0.3">
      <c r="A66" s="12" t="s">
        <v>53</v>
      </c>
      <c r="B66" s="17" t="s">
        <v>50</v>
      </c>
      <c r="C66" s="22" t="s">
        <v>112</v>
      </c>
    </row>
    <row r="67" spans="1:3" x14ac:dyDescent="0.3">
      <c r="A67" s="12" t="s">
        <v>40</v>
      </c>
      <c r="B67" s="17" t="s">
        <v>50</v>
      </c>
      <c r="C67" s="22" t="s">
        <v>113</v>
      </c>
    </row>
    <row r="68" spans="1:3" x14ac:dyDescent="0.3">
      <c r="A68" s="12" t="s">
        <v>40</v>
      </c>
      <c r="B68" s="17" t="s">
        <v>50</v>
      </c>
      <c r="C68" s="22" t="s">
        <v>114</v>
      </c>
    </row>
    <row r="69" spans="1:3" x14ac:dyDescent="0.3">
      <c r="A69" s="12" t="s">
        <v>40</v>
      </c>
      <c r="B69" s="17" t="s">
        <v>50</v>
      </c>
      <c r="C69" s="22" t="s">
        <v>57</v>
      </c>
    </row>
    <row r="70" spans="1:3" x14ac:dyDescent="0.3">
      <c r="A70" s="12" t="s">
        <v>40</v>
      </c>
      <c r="B70" s="17" t="s">
        <v>50</v>
      </c>
      <c r="C70" s="22" t="s">
        <v>115</v>
      </c>
    </row>
    <row r="71" spans="1:3" x14ac:dyDescent="0.3">
      <c r="A71" s="12" t="s">
        <v>40</v>
      </c>
      <c r="B71" s="17" t="s">
        <v>50</v>
      </c>
      <c r="C71" s="22" t="s">
        <v>116</v>
      </c>
    </row>
    <row r="72" spans="1:3" x14ac:dyDescent="0.3">
      <c r="A72" s="12" t="s">
        <v>40</v>
      </c>
      <c r="B72" s="17" t="s">
        <v>50</v>
      </c>
      <c r="C72" s="22" t="s">
        <v>117</v>
      </c>
    </row>
    <row r="73" spans="1:3" x14ac:dyDescent="0.3">
      <c r="A73" s="12" t="s">
        <v>40</v>
      </c>
      <c r="B73" s="17" t="s">
        <v>50</v>
      </c>
      <c r="C73" s="22" t="s">
        <v>118</v>
      </c>
    </row>
    <row r="74" spans="1:3" x14ac:dyDescent="0.3">
      <c r="A74" s="12" t="s">
        <v>40</v>
      </c>
      <c r="B74" s="17" t="s">
        <v>50</v>
      </c>
      <c r="C74" s="22" t="s">
        <v>119</v>
      </c>
    </row>
    <row r="75" spans="1:3" x14ac:dyDescent="0.3">
      <c r="A75" s="12" t="s">
        <v>61</v>
      </c>
      <c r="B75" s="17" t="s">
        <v>50</v>
      </c>
      <c r="C75" s="22" t="s">
        <v>120</v>
      </c>
    </row>
    <row r="76" spans="1:3" x14ac:dyDescent="0.3">
      <c r="A76" s="12" t="s">
        <v>61</v>
      </c>
      <c r="B76" s="17" t="s">
        <v>50</v>
      </c>
      <c r="C76" s="22" t="s">
        <v>121</v>
      </c>
    </row>
    <row r="77" spans="1:3" x14ac:dyDescent="0.3">
      <c r="A77" s="12" t="s">
        <v>61</v>
      </c>
      <c r="B77" s="17" t="s">
        <v>50</v>
      </c>
      <c r="C77" s="22" t="s">
        <v>122</v>
      </c>
    </row>
    <row r="78" spans="1:3" x14ac:dyDescent="0.3">
      <c r="A78" s="12" t="s">
        <v>61</v>
      </c>
      <c r="B78" s="17" t="s">
        <v>50</v>
      </c>
      <c r="C78" s="22" t="s">
        <v>123</v>
      </c>
    </row>
    <row r="79" spans="1:3" x14ac:dyDescent="0.3">
      <c r="A79" s="12" t="s">
        <v>61</v>
      </c>
      <c r="B79" s="17" t="s">
        <v>50</v>
      </c>
      <c r="C79" s="22" t="s">
        <v>124</v>
      </c>
    </row>
    <row r="80" spans="1:3" x14ac:dyDescent="0.3">
      <c r="A80" s="12" t="s">
        <v>61</v>
      </c>
      <c r="B80" s="17" t="s">
        <v>50</v>
      </c>
      <c r="C80" s="22" t="s">
        <v>59</v>
      </c>
    </row>
    <row r="81" spans="1:3" x14ac:dyDescent="0.3">
      <c r="A81" s="12" t="s">
        <v>89</v>
      </c>
      <c r="B81" s="17" t="s">
        <v>50</v>
      </c>
      <c r="C81" s="22" t="s">
        <v>125</v>
      </c>
    </row>
    <row r="82" spans="1:3" x14ac:dyDescent="0.3">
      <c r="A82" s="12" t="s">
        <v>89</v>
      </c>
      <c r="B82" s="17" t="s">
        <v>50</v>
      </c>
      <c r="C82" s="22" t="s">
        <v>126</v>
      </c>
    </row>
    <row r="83" spans="1:3" x14ac:dyDescent="0.3">
      <c r="A83" s="12" t="s">
        <v>89</v>
      </c>
      <c r="B83" s="17" t="s">
        <v>50</v>
      </c>
      <c r="C83" s="22" t="s">
        <v>127</v>
      </c>
    </row>
    <row r="84" spans="1:3" x14ac:dyDescent="0.3">
      <c r="A84" s="12" t="s">
        <v>89</v>
      </c>
      <c r="B84" s="17" t="s">
        <v>50</v>
      </c>
      <c r="C84" s="22" t="s">
        <v>128</v>
      </c>
    </row>
    <row r="85" spans="1:3" x14ac:dyDescent="0.3">
      <c r="A85" s="12" t="s">
        <v>89</v>
      </c>
      <c r="B85" s="17" t="s">
        <v>50</v>
      </c>
      <c r="C85" s="22" t="s">
        <v>129</v>
      </c>
    </row>
    <row r="86" spans="1:3" x14ac:dyDescent="0.3">
      <c r="A86" s="12" t="s">
        <v>89</v>
      </c>
      <c r="B86" s="17" t="s">
        <v>50</v>
      </c>
      <c r="C86" s="22" t="s">
        <v>130</v>
      </c>
    </row>
    <row r="87" spans="1:3" x14ac:dyDescent="0.3">
      <c r="A87" s="12" t="s">
        <v>89</v>
      </c>
      <c r="B87" s="17" t="s">
        <v>50</v>
      </c>
      <c r="C87" s="22" t="s">
        <v>131</v>
      </c>
    </row>
    <row r="88" spans="1:3" x14ac:dyDescent="0.3">
      <c r="A88" s="12" t="s">
        <v>89</v>
      </c>
      <c r="B88" s="17" t="s">
        <v>50</v>
      </c>
      <c r="C88" s="22" t="s">
        <v>132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26"/>
  <sheetViews>
    <sheetView topLeftCell="A16" workbookViewId="0">
      <selection activeCell="J6" sqref="J6"/>
    </sheetView>
  </sheetViews>
  <sheetFormatPr defaultColWidth="8.88671875" defaultRowHeight="14.4" x14ac:dyDescent="0.3"/>
  <cols>
    <col min="1" max="1" width="8.88671875" style="2"/>
    <col min="2" max="2" width="30.6640625" style="2" bestFit="1" customWidth="1"/>
    <col min="3" max="3" width="12.21875" style="2" bestFit="1" customWidth="1"/>
    <col min="4" max="4" width="15.5546875" style="2" bestFit="1" customWidth="1"/>
    <col min="5" max="5" width="21.44140625" style="2" bestFit="1" customWidth="1"/>
    <col min="6" max="6" width="12.218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133</v>
      </c>
      <c r="E2" s="2" t="s">
        <v>134</v>
      </c>
    </row>
    <row r="3" spans="2:6" x14ac:dyDescent="0.3">
      <c r="B3" s="25" t="s">
        <v>135</v>
      </c>
      <c r="C3" s="26" t="s">
        <v>136</v>
      </c>
      <c r="E3" s="25" t="s">
        <v>135</v>
      </c>
      <c r="F3" s="26" t="s">
        <v>136</v>
      </c>
    </row>
    <row r="4" spans="2:6" x14ac:dyDescent="0.3">
      <c r="B4" s="27" t="s">
        <v>3</v>
      </c>
      <c r="C4" s="26">
        <v>22.5</v>
      </c>
      <c r="E4" s="27" t="s">
        <v>3</v>
      </c>
      <c r="F4" s="26">
        <v>22.5</v>
      </c>
    </row>
    <row r="5" spans="2:6" x14ac:dyDescent="0.3">
      <c r="B5" s="28" t="s">
        <v>39</v>
      </c>
      <c r="C5" s="26">
        <v>22.5</v>
      </c>
      <c r="E5" s="28" t="s">
        <v>39</v>
      </c>
      <c r="F5" s="26">
        <v>22.5</v>
      </c>
    </row>
    <row r="6" spans="2:6" x14ac:dyDescent="0.3">
      <c r="B6" s="29" t="s">
        <v>64</v>
      </c>
      <c r="C6" s="26">
        <v>2</v>
      </c>
      <c r="E6" s="29" t="s">
        <v>40</v>
      </c>
      <c r="F6" s="26">
        <v>9</v>
      </c>
    </row>
    <row r="7" spans="2:6" x14ac:dyDescent="0.3">
      <c r="B7" s="29" t="s">
        <v>36</v>
      </c>
      <c r="C7" s="26">
        <v>11</v>
      </c>
      <c r="E7" s="29" t="s">
        <v>53</v>
      </c>
      <c r="F7" s="26">
        <v>5</v>
      </c>
    </row>
    <row r="8" spans="2:6" x14ac:dyDescent="0.3">
      <c r="B8" s="29" t="s">
        <v>67</v>
      </c>
      <c r="C8" s="26">
        <v>3.5</v>
      </c>
      <c r="E8" s="29" t="s">
        <v>61</v>
      </c>
      <c r="F8" s="26">
        <v>1.5</v>
      </c>
    </row>
    <row r="9" spans="2:6" x14ac:dyDescent="0.3">
      <c r="B9" s="29" t="s">
        <v>50</v>
      </c>
      <c r="C9" s="26">
        <v>6</v>
      </c>
      <c r="E9" s="29" t="s">
        <v>83</v>
      </c>
      <c r="F9" s="26">
        <v>4</v>
      </c>
    </row>
    <row r="10" spans="2:6" x14ac:dyDescent="0.3">
      <c r="B10" s="27" t="s">
        <v>5</v>
      </c>
      <c r="C10" s="26">
        <v>3</v>
      </c>
      <c r="E10" s="29" t="s">
        <v>89</v>
      </c>
      <c r="F10" s="26">
        <v>3</v>
      </c>
    </row>
    <row r="11" spans="2:6" x14ac:dyDescent="0.3">
      <c r="B11" s="28" t="s">
        <v>39</v>
      </c>
      <c r="C11" s="26">
        <v>3</v>
      </c>
      <c r="E11" s="27" t="s">
        <v>2</v>
      </c>
      <c r="F11" s="26">
        <v>9</v>
      </c>
    </row>
    <row r="12" spans="2:6" x14ac:dyDescent="0.3">
      <c r="B12" s="29" t="s">
        <v>50</v>
      </c>
      <c r="C12" s="26">
        <v>3</v>
      </c>
      <c r="E12" s="28" t="s">
        <v>39</v>
      </c>
      <c r="F12" s="26">
        <v>9</v>
      </c>
    </row>
    <row r="13" spans="2:6" x14ac:dyDescent="0.3">
      <c r="B13" s="27" t="s">
        <v>7</v>
      </c>
      <c r="C13" s="26">
        <v>5</v>
      </c>
      <c r="E13" s="29" t="s">
        <v>40</v>
      </c>
      <c r="F13" s="26">
        <v>1</v>
      </c>
    </row>
    <row r="14" spans="2:6" x14ac:dyDescent="0.3">
      <c r="B14" s="28" t="s">
        <v>39</v>
      </c>
      <c r="C14" s="26">
        <v>5</v>
      </c>
      <c r="E14" s="29" t="s">
        <v>53</v>
      </c>
      <c r="F14" s="26">
        <v>4.5</v>
      </c>
    </row>
    <row r="15" spans="2:6" x14ac:dyDescent="0.3">
      <c r="B15" s="29" t="s">
        <v>36</v>
      </c>
      <c r="C15" s="26">
        <v>1</v>
      </c>
      <c r="E15" s="29" t="s">
        <v>61</v>
      </c>
      <c r="F15" s="26">
        <v>1</v>
      </c>
    </row>
    <row r="16" spans="2:6" x14ac:dyDescent="0.3">
      <c r="B16" s="29" t="s">
        <v>50</v>
      </c>
      <c r="C16" s="26">
        <v>4</v>
      </c>
      <c r="E16" s="29" t="s">
        <v>137</v>
      </c>
      <c r="F16" s="26">
        <v>2</v>
      </c>
    </row>
    <row r="17" spans="2:6" x14ac:dyDescent="0.3">
      <c r="B17" s="27" t="s">
        <v>2</v>
      </c>
      <c r="C17" s="26">
        <v>9</v>
      </c>
      <c r="E17" s="29" t="s">
        <v>89</v>
      </c>
      <c r="F17" s="26">
        <v>0.5</v>
      </c>
    </row>
    <row r="18" spans="2:6" x14ac:dyDescent="0.3">
      <c r="B18" s="28" t="s">
        <v>39</v>
      </c>
      <c r="C18" s="26">
        <v>9</v>
      </c>
      <c r="E18" s="27" t="s">
        <v>5</v>
      </c>
      <c r="F18" s="26">
        <v>3</v>
      </c>
    </row>
    <row r="19" spans="2:6" x14ac:dyDescent="0.3">
      <c r="B19" s="29" t="s">
        <v>54</v>
      </c>
      <c r="C19" s="26">
        <v>1.75</v>
      </c>
      <c r="E19" s="28" t="s">
        <v>39</v>
      </c>
      <c r="F19" s="26">
        <v>3</v>
      </c>
    </row>
    <row r="20" spans="2:6" x14ac:dyDescent="0.3">
      <c r="B20" s="29" t="s">
        <v>50</v>
      </c>
      <c r="C20" s="26">
        <v>7.25</v>
      </c>
      <c r="E20" s="29" t="s">
        <v>53</v>
      </c>
      <c r="F20" s="26">
        <v>3</v>
      </c>
    </row>
    <row r="21" spans="2:6" x14ac:dyDescent="0.3">
      <c r="B21" s="27" t="s">
        <v>137</v>
      </c>
      <c r="C21" s="26"/>
      <c r="E21" s="27" t="s">
        <v>7</v>
      </c>
      <c r="F21" s="26">
        <v>5</v>
      </c>
    </row>
    <row r="22" spans="2:6" x14ac:dyDescent="0.3">
      <c r="B22" s="28" t="s">
        <v>137</v>
      </c>
      <c r="C22" s="26"/>
      <c r="E22" s="28" t="s">
        <v>39</v>
      </c>
      <c r="F22" s="26">
        <v>5</v>
      </c>
    </row>
    <row r="23" spans="2:6" x14ac:dyDescent="0.3">
      <c r="B23" s="29" t="s">
        <v>137</v>
      </c>
      <c r="C23" s="26"/>
      <c r="E23" s="29" t="s">
        <v>40</v>
      </c>
      <c r="F23" s="26">
        <v>1</v>
      </c>
    </row>
    <row r="24" spans="2:6" x14ac:dyDescent="0.3">
      <c r="B24" s="27" t="s">
        <v>138</v>
      </c>
      <c r="C24" s="26">
        <v>39.5</v>
      </c>
      <c r="E24" s="29" t="s">
        <v>61</v>
      </c>
      <c r="F24" s="26">
        <v>1.5</v>
      </c>
    </row>
    <row r="25" spans="2:6" x14ac:dyDescent="0.3">
      <c r="B25"/>
      <c r="C25"/>
      <c r="E25" s="29" t="s">
        <v>89</v>
      </c>
      <c r="F25" s="26">
        <v>2.5</v>
      </c>
    </row>
    <row r="26" spans="2:6" x14ac:dyDescent="0.3">
      <c r="E26" s="27" t="s">
        <v>138</v>
      </c>
      <c r="F26" s="26">
        <v>39.5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88BAA02-92C8-46CC-880B-167BB75E4C44}">
  <ds:schemaRefs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72f6111a-4acc-4f4d-a785-1ce5750b99c1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2025-11-14T12:00:12Z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