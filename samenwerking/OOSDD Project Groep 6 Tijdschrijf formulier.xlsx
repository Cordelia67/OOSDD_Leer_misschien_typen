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liveadminwindesheim-my.sharepoint.com/personal/s1218918_student_windesheim_nl/Documents/jaar 2 deel 2/documentatie &amp; samenwerking/samenwerking/"/>
    </mc:Choice>
  </mc:AlternateContent>
  <xr:revisionPtr revIDLastSave="1131" documentId="8_{457C1D70-64FC-4E90-8B82-A9FD219DE9B0}" xr6:coauthVersionLast="47" xr6:coauthVersionMax="47" xr10:uidLastSave="{55995180-B67A-47AE-B457-76BDB1E2CC5A}"/>
  <bookViews>
    <workbookView xWindow="-108" yWindow="-108" windowWidth="23256" windowHeight="12456" tabRatio="768" firstSheet="1" activeTab="1" xr2:uid="{00000000-000D-0000-FFFF-FFFF00000000}"/>
  </bookViews>
  <sheets>
    <sheet name="Invulinstructie" sheetId="4" r:id="rId1"/>
    <sheet name="Uren" sheetId="1" r:id="rId2"/>
    <sheet name="Lijsten" sheetId="2" r:id="rId3"/>
    <sheet name="Samenvattingen" sheetId="3" r:id="rId4"/>
  </sheets>
  <definedNames>
    <definedName name="_xlcn.WorksheetConnection_OOSDDProjectGroepAAATijdschrijfformulier.xlsxNamenlijst1" hidden="1">Namenlijst[]</definedName>
    <definedName name="Beheerproces">Lijsten!$C$16:$C$25</definedName>
    <definedName name="Implementatieproces">Lijsten!$C$36:$C$44</definedName>
    <definedName name="Ontwerpproces">Lijsten!$C$45:$C$52</definedName>
    <definedName name="Overig">Lijsten!$C$90</definedName>
    <definedName name="Requirementsanalyseproces">Lijsten!$C$53:$C$63</definedName>
    <definedName name="Scrumproces">Lijsten!$C$64:$C$89</definedName>
    <definedName name="Testproces">Lijsten!$C$26:$C$35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amenlijst" name="Namenlijst" connection="WorksheetConnection_OOSDD Project Groep AAA Tijdschrijf formulier.xlsx!Namenlijs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1" i="1" l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2" i="1"/>
  <c r="I113" i="1"/>
  <c r="I114" i="1"/>
  <c r="I111" i="1"/>
  <c r="I110" i="1"/>
  <c r="I98" i="1"/>
  <c r="I84" i="1"/>
  <c r="I92" i="1"/>
  <c r="I109" i="1"/>
  <c r="I105" i="1"/>
  <c r="I80" i="1"/>
  <c r="I108" i="1"/>
  <c r="I77" i="1"/>
  <c r="I107" i="1"/>
  <c r="I106" i="1"/>
  <c r="I104" i="1"/>
  <c r="I103" i="1"/>
  <c r="I83" i="1"/>
  <c r="I101" i="1"/>
  <c r="I68" i="1"/>
  <c r="I31" i="1"/>
  <c r="I19" i="1"/>
  <c r="I29" i="1"/>
  <c r="I28" i="1"/>
  <c r="I26" i="1"/>
  <c r="I25" i="1"/>
  <c r="I24" i="1"/>
  <c r="I23" i="1"/>
  <c r="I18" i="1"/>
  <c r="I17" i="1"/>
  <c r="I20" i="1"/>
  <c r="I30" i="1"/>
  <c r="I21" i="1"/>
  <c r="I22" i="1"/>
  <c r="I32" i="1"/>
  <c r="I33" i="1"/>
  <c r="I34" i="1"/>
  <c r="I35" i="1"/>
  <c r="I36" i="1"/>
  <c r="I38" i="1"/>
  <c r="I40" i="1"/>
  <c r="I41" i="1"/>
  <c r="I42" i="1"/>
  <c r="I43" i="1"/>
  <c r="I44" i="1"/>
  <c r="I45" i="1"/>
  <c r="I46" i="1"/>
  <c r="I37" i="1"/>
  <c r="I47" i="1"/>
  <c r="I39" i="1"/>
  <c r="I48" i="1"/>
  <c r="I51" i="1"/>
  <c r="I52" i="1"/>
  <c r="I49" i="1"/>
  <c r="I54" i="1"/>
  <c r="I50" i="1"/>
  <c r="I55" i="1"/>
  <c r="I56" i="1"/>
  <c r="I57" i="1"/>
  <c r="I58" i="1"/>
  <c r="I59" i="1"/>
  <c r="I60" i="1"/>
  <c r="I63" i="1"/>
  <c r="I61" i="1"/>
  <c r="I62" i="1"/>
  <c r="I53" i="1"/>
  <c r="I64" i="1"/>
  <c r="I65" i="1"/>
  <c r="I66" i="1"/>
  <c r="I67" i="1"/>
  <c r="I69" i="1"/>
  <c r="I71" i="1"/>
  <c r="I72" i="1"/>
  <c r="I73" i="1"/>
  <c r="I74" i="1"/>
  <c r="I75" i="1"/>
  <c r="I78" i="1"/>
  <c r="I81" i="1"/>
  <c r="I79" i="1"/>
  <c r="I82" i="1"/>
  <c r="I85" i="1"/>
  <c r="I86" i="1"/>
  <c r="I88" i="1"/>
  <c r="I87" i="1"/>
  <c r="I89" i="1"/>
  <c r="I90" i="1"/>
  <c r="I93" i="1"/>
  <c r="I94" i="1"/>
  <c r="I95" i="1"/>
  <c r="I96" i="1"/>
  <c r="I97" i="1"/>
  <c r="I91" i="1"/>
  <c r="I99" i="1"/>
  <c r="I100" i="1"/>
  <c r="I102" i="1"/>
  <c r="I70" i="1"/>
  <c r="I7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OOSDD Project Groep AAA Tijdschrijf formulier.xlsx!Namenlijst" type="102" refreshedVersion="8" minRefreshableVersion="5">
    <extLst>
      <ext xmlns:x15="http://schemas.microsoft.com/office/spreadsheetml/2010/11/main" uri="{DE250136-89BD-433C-8126-D09CA5730AF9}">
        <x15:connection id="Namenlijst">
          <x15:rangePr sourceName="_xlcn.WorksheetConnection_OOSDDProjectGroepAAATijdschrijfformulier.xlsxNamenlijst1"/>
        </x15:connection>
      </ext>
    </extLst>
  </connection>
</connections>
</file>

<file path=xl/sharedStrings.xml><?xml version="1.0" encoding="utf-8"?>
<sst xmlns="http://schemas.openxmlformats.org/spreadsheetml/2006/main" count="955" uniqueCount="223">
  <si>
    <t>Namenlijst</t>
  </si>
  <si>
    <t>Welkom bij het tijdschrijf formulier voor het OOSDD Project</t>
  </si>
  <si>
    <t>Tim</t>
  </si>
  <si>
    <t>Edward</t>
  </si>
  <si>
    <t>Voor de start van het project</t>
  </si>
  <si>
    <t>Kai</t>
  </si>
  <si>
    <t>1. Namenlijst</t>
  </si>
  <si>
    <t>Nicky</t>
  </si>
  <si>
    <t>Om met dit tijdschrijfformulier te beginnen dien je eerst de namen van de projectleden in de namenlijst te zetten.</t>
  </si>
  <si>
    <t>Deze namenlijst vind je hier.</t>
  </si>
  <si>
    <t>Vervang de namen van de docenten door de namen van je eigen teamleden</t>
  </si>
  <si>
    <t>2. Uren leegmaken</t>
  </si>
  <si>
    <t>Controleer of er geen voorbeeldinput staat op de Uren tab.</t>
  </si>
  <si>
    <t>Als deze er wel staat, gooi deze tabel leeg, alleen de blauwe kolommen!!</t>
  </si>
  <si>
    <t>Tijdens het project</t>
  </si>
  <si>
    <t>Als je werkzaamheden gedaan hebt voor het project registreer je deze op het uren tab.</t>
  </si>
  <si>
    <t>1. Selecteer je naam uit de dropdown</t>
  </si>
  <si>
    <t>2. Selecteer voor bij welk proces de werkzaamheden horen</t>
  </si>
  <si>
    <t>3. Selecter de vaardigheid waar de werkzaamheden onder vallen</t>
  </si>
  <si>
    <t>4. Geef een omschrijving van de werkzaamheden</t>
  </si>
  <si>
    <t>5. Vul de datum in</t>
  </si>
  <si>
    <t>6. Vul het aantal uren in</t>
  </si>
  <si>
    <t>7. Vul de sprint in waaraan je werkt.</t>
  </si>
  <si>
    <t>Tips voor het invullen van uren:</t>
  </si>
  <si>
    <t>Vul aan het einde van elke dag de sheet in, dat zorgt ervoor dat je goed bij bent.</t>
  </si>
  <si>
    <t>Vul ook de sheet in als je taak nog niet af is, het gaat om wat je die dag gedaan hebt.</t>
  </si>
  <si>
    <t>Ben je vergeten de sheet in te vullen? Doe het dan zo snel mogelijk en vul bij de datum de datum van de werkzaamheden in</t>
  </si>
  <si>
    <t>Heb je meerdere taken gedaan op 1 dag? Vul deze dan allemaal los in, zo kan je bij de samenvatttingen mooi zien waar je tijd aan besteed is.</t>
  </si>
  <si>
    <t>Naam</t>
  </si>
  <si>
    <t>Proces</t>
  </si>
  <si>
    <t>Vaaridigheid</t>
  </si>
  <si>
    <t>Omschrijving werkzaamheden</t>
  </si>
  <si>
    <t>Datum</t>
  </si>
  <si>
    <t>Uren</t>
  </si>
  <si>
    <t>Sprint nr</t>
  </si>
  <si>
    <t>Activiteit</t>
  </si>
  <si>
    <t>Requirementsanalyseproces</t>
  </si>
  <si>
    <t>Bestuderen  probleemstelling</t>
  </si>
  <si>
    <t>Analyse projectomschrijving en de oplossingsmogelijkheden</t>
  </si>
  <si>
    <t>Sprint 0</t>
  </si>
  <si>
    <t>Analyseren</t>
  </si>
  <si>
    <t>Beschrijven stakeholders</t>
  </si>
  <si>
    <t>Analyse van de users en hun behoeftes &amp; de stakeholders</t>
  </si>
  <si>
    <t>Uitvragen requirements</t>
  </si>
  <si>
    <t>Opstellen van requirements</t>
  </si>
  <si>
    <t>Prioriteren requirements</t>
  </si>
  <si>
    <t>Vastleggen requirements</t>
  </si>
  <si>
    <t>Opsplitsen functionele en non-functionele requirements</t>
  </si>
  <si>
    <t>Maken domeinmodel</t>
  </si>
  <si>
    <t>Opstellen van het Functioneel ontwerp</t>
  </si>
  <si>
    <t>Scrumproces</t>
  </si>
  <si>
    <t>Aangeven behoeften</t>
  </si>
  <si>
    <t>Scrumworkshop gevolgd</t>
  </si>
  <si>
    <t>Manage &amp; Control</t>
  </si>
  <si>
    <t>Beheerproces</t>
  </si>
  <si>
    <t>Fork maken</t>
  </si>
  <si>
    <t>Git aangemaakt</t>
  </si>
  <si>
    <t>Bepalen werklast</t>
  </si>
  <si>
    <t>Onderzoek en vragen gesteld om opdracht duidelijker te maken voor de groep.</t>
  </si>
  <si>
    <t>Reviewen werk</t>
  </si>
  <si>
    <t>Al door requirements en functioneel ontwerp gekeken, feedback wacht tot morgen met product owner.</t>
  </si>
  <si>
    <t>Realiseren</t>
  </si>
  <si>
    <t>Organiseren requirements</t>
  </si>
  <si>
    <t>Ontwerp wireframe schermen</t>
  </si>
  <si>
    <t>Ontwerpproces</t>
  </si>
  <si>
    <t>Uitleg werking systeem</t>
  </si>
  <si>
    <t>Concept van het Technisch Ontwerp opgesteld</t>
  </si>
  <si>
    <t>Inrichten .gitignore</t>
  </si>
  <si>
    <t>Gitignore gemaakt en nagekeken</t>
  </si>
  <si>
    <t>Kiezen branchingstrategie</t>
  </si>
  <si>
    <t>Github flow</t>
  </si>
  <si>
    <t>Reviewen Edwards werk</t>
  </si>
  <si>
    <t>Bestuderen opdracht</t>
  </si>
  <si>
    <t>Testproces</t>
  </si>
  <si>
    <t>Verzamelen testscenarios</t>
  </si>
  <si>
    <t>Opstellen van Testontwerp</t>
  </si>
  <si>
    <t>Verzamelen testcases</t>
  </si>
  <si>
    <t>Opstellen schriftelijke testcase</t>
  </si>
  <si>
    <t>Opstellen van het concept van het Testrapportage</t>
  </si>
  <si>
    <t>Review alle documentatie van Edward</t>
  </si>
  <si>
    <t>Feedback geven</t>
  </si>
  <si>
    <t>Feedback geven gebaseert op review</t>
  </si>
  <si>
    <t>Feedback ontvangen</t>
  </si>
  <si>
    <t>Review en discussie mbt Feedback team</t>
  </si>
  <si>
    <t>Aanpassen en verrijken van het Functioneel ontwerp</t>
  </si>
  <si>
    <t>Noteren actiepunten</t>
  </si>
  <si>
    <t>Notities opstellen in de requirement analyse</t>
  </si>
  <si>
    <t>Reviewen van alle documenten</t>
  </si>
  <si>
    <t>Feedback verwerken</t>
  </si>
  <si>
    <t xml:space="preserve">Opstellen van het Projectdocument </t>
  </si>
  <si>
    <t>Prioriteren productbacklog</t>
  </si>
  <si>
    <t>Prioriteiten aanpassen</t>
  </si>
  <si>
    <t>Review projectdocument</t>
  </si>
  <si>
    <t>Maken geversioneerde release</t>
  </si>
  <si>
    <t>Documenten klaarzetten voor release sprint 0</t>
  </si>
  <si>
    <t>Review Sprint 0 aan teamleden</t>
  </si>
  <si>
    <t>Werk presenteren</t>
  </si>
  <si>
    <t>Opstellen van een demo-presentatie</t>
  </si>
  <si>
    <t>Presentatie en retrospectief</t>
  </si>
  <si>
    <t>Opstellen productbacklog</t>
  </si>
  <si>
    <t>Workshop gevolgd</t>
  </si>
  <si>
    <t>Sprint 1</t>
  </si>
  <si>
    <t>Vaststellen sprintdoel</t>
  </si>
  <si>
    <t>Trello opgezet met taken</t>
  </si>
  <si>
    <t>Implementatieproces</t>
  </si>
  <si>
    <t>Structureer code</t>
  </si>
  <si>
    <t>Framework gemaakt</t>
  </si>
  <si>
    <t>Doorvoeren PR naar dev</t>
  </si>
  <si>
    <t>Framework in develop gezet voor review</t>
  </si>
  <si>
    <t>Nagecheckt of framework werkt via het clonen van repository.</t>
  </si>
  <si>
    <t>Afstemmen op behoeften omgeving</t>
  </si>
  <si>
    <t>Iteratief verfijnen ontwerp</t>
  </si>
  <si>
    <t>Ontwikkelen en verbeteren van de code (UC1)</t>
  </si>
  <si>
    <t>Verbinding met MYSQL database opgezet, database als service toegevoegd. Testdatabase met beheerder gemaakt.</t>
  </si>
  <si>
    <t>Uitvoeren handmatige test</t>
  </si>
  <si>
    <t>Databaseverbinding getest</t>
  </si>
  <si>
    <t>Ontwikkelen en verbeteren van de code (UC2)</t>
  </si>
  <si>
    <t>Controleer aansluiting ontwerp</t>
  </si>
  <si>
    <t>Bijwerken projectdocumentatie: Requirementsanalyse, Functioneel ontwerp, Technisch ontwerp, Testontwerp, Testrapportage</t>
  </si>
  <si>
    <t>Header opstellen</t>
  </si>
  <si>
    <t>Peerreviewen code</t>
  </si>
  <si>
    <t>Review code UC1 &amp; UC2</t>
  </si>
  <si>
    <t>Controle communiceerbaarheid ontwerp</t>
  </si>
  <si>
    <t>Uitwerken ontwerpdocument en samenvoeging bij prjectdocumentatie</t>
  </si>
  <si>
    <t>Projectdocumentatie, ontwerpdocument, en dashboard</t>
  </si>
  <si>
    <t>Monitoren voortgang sprintdoel</t>
  </si>
  <si>
    <t>Monitoring voortgang, hulp aan anderen, testing enz.</t>
  </si>
  <si>
    <t>Kiezen user stories</t>
  </si>
  <si>
    <t>User stories opzetten</t>
  </si>
  <si>
    <t>Dashboard naar develop met merge conflict, dat getest en opgelost, daarna naar main &amp; release.</t>
  </si>
  <si>
    <t>Spoor fouten op</t>
  </si>
  <si>
    <t>de fout ^</t>
  </si>
  <si>
    <t>Opstellen SCRUM retrospective</t>
  </si>
  <si>
    <t>Opstellen van een demo-presentatie Sprint 1</t>
  </si>
  <si>
    <t>Aanpassing en aanvulling van het Requirementsanalyse en het Functioneel ontwerp m.b.t. UC3 - UC5.</t>
  </si>
  <si>
    <t>Sprint 2</t>
  </si>
  <si>
    <t>Ondersteunen teamlid</t>
  </si>
  <si>
    <t>Helpen met error visual studio</t>
  </si>
  <si>
    <t>Styling</t>
  </si>
  <si>
    <t>Aanpassing en aanvulling van Technisch Ontwerp v1.2.0 m.b.t. UC3-UC5 incl. nieuwe diagrammen</t>
  </si>
  <si>
    <t>Controle toepassing ontwerptechnieken</t>
  </si>
  <si>
    <t>Ontwerpen oefenscherm</t>
  </si>
  <si>
    <t xml:space="preserve">Header </t>
  </si>
  <si>
    <t>Begonnen met foute database van vorige sprint veilig weghalen</t>
  </si>
  <si>
    <t>Aanpassing en aanvulliong het Testontwerp en het Testrapportage v1.2.0</t>
  </si>
  <si>
    <t>Header IDE fouten oplossen</t>
  </si>
  <si>
    <t>Oefenzinnen opstellen 1/2</t>
  </si>
  <si>
    <t>Foute database weg</t>
  </si>
  <si>
    <t>Code verfijnen en werkend maken</t>
  </si>
  <si>
    <t>Oefenzinnen opstellen 2/2</t>
  </si>
  <si>
    <t>Makkelijke zinnen aan resource toegevoegd, en op de oefenpagina functies gemaakt om ze in willekeurige volgorde weer te geven.</t>
  </si>
  <si>
    <t>Bestuderen words per minute</t>
  </si>
  <si>
    <t>Ontewerpdocument aanmaken</t>
  </si>
  <si>
    <t>Middelmatige en moeilijke zinnen aan resource toegevoegd, de oefenpagina functie aangepast om die nu ook te gebruiken</t>
  </si>
  <si>
    <t>Rick</t>
  </si>
  <si>
    <t>De fout detectie van de user input toegevoegd. De textkleur is nu groen als het correct is en rood als het fout is.</t>
  </si>
  <si>
    <t>Code foutdetectie</t>
  </si>
  <si>
    <t>Fouten teller toegevoegd, de zinsselectie verhuisd naar een apparte service bestand, een difficulty enum aangemaakt en de zinsselectie geintegeerd met de fout detectie.</t>
  </si>
  <si>
    <t>Code foutdetectie V2</t>
  </si>
  <si>
    <t>Dashboard styling verbeterd, en omgezet tot in het styledocument zodat er geen styling meer op de pagina staat. Het is veel schoner nu</t>
  </si>
  <si>
    <t>Code schoonmaken (clean architecture)</t>
  </si>
  <si>
    <t>Presentatieslides maken</t>
  </si>
  <si>
    <t>Styling helemaal klaar, iconen toegevoegd, geen style meer op de pagina's zelf.</t>
  </si>
  <si>
    <t>Hulp clean architecture</t>
  </si>
  <si>
    <t>Header grotendeels af</t>
  </si>
  <si>
    <t>Geholpen visual studio werkend te krijgen</t>
  </si>
  <si>
    <t xml:space="preserve">Workshop gevolgd </t>
  </si>
  <si>
    <t>Header compleet af</t>
  </si>
  <si>
    <t>Colour blind mode</t>
  </si>
  <si>
    <t>Vervolg Oefentimer maken</t>
  </si>
  <si>
    <t>Inzichtelijk maken voortgang</t>
  </si>
  <si>
    <t>Teamoverleg dagelijks laatste twee weken met besprekingen over de voortgang, belemmeringen, problemen, oplossingen enz.</t>
  </si>
  <si>
    <t>Maken van oefentimer</t>
  </si>
  <si>
    <t>Hulp met git</t>
  </si>
  <si>
    <t>Oefentimer compleet getest</t>
  </si>
  <si>
    <t>Oplossen belemmeringen</t>
  </si>
  <si>
    <t>Originele foutieve code aangepast tot het huidige ontwerp</t>
  </si>
  <si>
    <t>nvt</t>
  </si>
  <si>
    <t>Heel sprint 0-half sprint 1 ziekteverzuim wegens operatie.</t>
  </si>
  <si>
    <t>Sprint 0-1</t>
  </si>
  <si>
    <t>Helpen merge conflict</t>
  </si>
  <si>
    <t>Oefenpagina testen en Testrapportage invullen</t>
  </si>
  <si>
    <t>Vaardigheid</t>
  </si>
  <si>
    <t>Testen in pipeline</t>
  </si>
  <si>
    <t>Mergen feature met PR</t>
  </si>
  <si>
    <t>Maken feature branch</t>
  </si>
  <si>
    <t>Opzetten testen in pipeline</t>
  </si>
  <si>
    <t>Doorvoeren PR naar main</t>
  </si>
  <si>
    <t>Ontwerpen</t>
  </si>
  <si>
    <t>Gebruiken teststrategie</t>
  </si>
  <si>
    <t>Selecteren testsoort</t>
  </si>
  <si>
    <t>Opstellen geautomatiseerde test</t>
  </si>
  <si>
    <t>Uitvoeren geautomatiseerde test</t>
  </si>
  <si>
    <t>Adviseren</t>
  </si>
  <si>
    <t>Evalueren testresultaat</t>
  </si>
  <si>
    <t>Structureer project</t>
  </si>
  <si>
    <t>Toepassen taalconcepten</t>
  </si>
  <si>
    <t>Beredeneer keuze taalconcept</t>
  </si>
  <si>
    <t>Kies oplossing</t>
  </si>
  <si>
    <t>Voer oplossing door</t>
  </si>
  <si>
    <t>Toepassen modelleertechnieken</t>
  </si>
  <si>
    <t>Controle aansluiting requirements</t>
  </si>
  <si>
    <t>Ondersteunen bij ontwerpkeuzes</t>
  </si>
  <si>
    <t>Presenteren aanbevelingen</t>
  </si>
  <si>
    <t>Detecteren mogelijke gebreken in requirements</t>
  </si>
  <si>
    <t>Bepalen haalbaarheid requirements</t>
  </si>
  <si>
    <t>Reviewen requirements</t>
  </si>
  <si>
    <t>Aangeven grenzen</t>
  </si>
  <si>
    <t>Opstellen productafspraken</t>
  </si>
  <si>
    <t>In kaart brengen afhankelijkheden</t>
  </si>
  <si>
    <t>Toevoegen taken aan user story</t>
  </si>
  <si>
    <t>Toevoegen acceptatiecriteria</t>
  </si>
  <si>
    <t>Uiten belemmeringen</t>
  </si>
  <si>
    <t>Ophalen feedback</t>
  </si>
  <si>
    <t>Kiezen werkvorm</t>
  </si>
  <si>
    <t>Verdeling over proces stappen</t>
  </si>
  <si>
    <t>Verdeling over HBO-I activiteiten</t>
  </si>
  <si>
    <t>Naam en Sprint</t>
  </si>
  <si>
    <t>Sum of Uren</t>
  </si>
  <si>
    <t>(leeg)</t>
  </si>
  <si>
    <t>#N/B</t>
  </si>
  <si>
    <t>Eindtotaal</t>
  </si>
  <si>
    <t>Helpen met last-minute test en merge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</si>
</sst>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3"/>
      <color theme="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</font>
    <font>
      <sz val="11"/>
      <color rgb="FF000000"/>
      <name val="Aptos"/>
      <family val="2"/>
    </font>
    <font>
      <sz val="11"/>
      <color rgb="FF000000"/>
      <name val="Aptos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94DCF8"/>
        <bgColor rgb="FF94DCF8"/>
      </patternFill>
    </fill>
    <fill>
      <patternFill patternType="solid">
        <fgColor rgb="FFD0D0D0"/>
        <bgColor rgb="FF000000"/>
      </patternFill>
    </fill>
    <fill>
      <patternFill patternType="solid">
        <fgColor rgb="FFCAEDFB"/>
        <bgColor rgb="FFCAEDFB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2" fillId="6" borderId="0" applyNumberFormat="0" applyBorder="0" applyAlignment="0" applyProtection="0"/>
  </cellStyleXfs>
  <cellXfs count="60">
    <xf numFmtId="0" fontId="0" fillId="0" borderId="0" xfId="0"/>
    <xf numFmtId="0" fontId="6" fillId="6" borderId="5" xfId="3" applyFont="1" applyFill="1" applyAlignment="1"/>
    <xf numFmtId="0" fontId="7" fillId="0" borderId="0" xfId="0" applyFont="1"/>
    <xf numFmtId="0" fontId="6" fillId="6" borderId="5" xfId="3" applyFont="1" applyFill="1"/>
    <xf numFmtId="0" fontId="8" fillId="0" borderId="0" xfId="1" applyFont="1"/>
    <xf numFmtId="0" fontId="7" fillId="5" borderId="0" xfId="0" applyFont="1" applyFill="1"/>
    <xf numFmtId="0" fontId="7" fillId="0" borderId="0" xfId="0" applyFont="1" applyAlignment="1">
      <alignment wrapText="1"/>
    </xf>
    <xf numFmtId="14" fontId="7" fillId="0" borderId="0" xfId="0" applyNumberFormat="1" applyFont="1"/>
    <xf numFmtId="2" fontId="7" fillId="0" borderId="0" xfId="0" applyNumberFormat="1" applyFont="1"/>
    <xf numFmtId="0" fontId="7" fillId="4" borderId="0" xfId="0" applyFont="1" applyFill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10" fillId="0" borderId="1" xfId="0" applyFont="1" applyBorder="1" applyAlignment="1">
      <alignment vertical="top"/>
    </xf>
    <xf numFmtId="0" fontId="10" fillId="2" borderId="2" xfId="0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0" fontId="10" fillId="3" borderId="0" xfId="0" applyFont="1" applyFill="1" applyAlignment="1">
      <alignment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wrapText="1"/>
    </xf>
    <xf numFmtId="0" fontId="2" fillId="6" borderId="5" xfId="4" applyBorder="1"/>
    <xf numFmtId="0" fontId="11" fillId="6" borderId="5" xfId="4" applyFont="1" applyBorder="1"/>
    <xf numFmtId="0" fontId="9" fillId="0" borderId="0" xfId="0" applyFont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3" xfId="0" applyBorder="1" applyAlignment="1">
      <alignment vertical="top"/>
    </xf>
    <xf numFmtId="0" fontId="13" fillId="0" borderId="0" xfId="0" pivotButton="1" applyFont="1"/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left" indent="2"/>
    </xf>
    <xf numFmtId="0" fontId="12" fillId="8" borderId="6" xfId="0" applyFont="1" applyFill="1" applyBorder="1"/>
    <xf numFmtId="0" fontId="7" fillId="9" borderId="6" xfId="0" applyFont="1" applyFill="1" applyBorder="1"/>
    <xf numFmtId="0" fontId="7" fillId="0" borderId="6" xfId="0" applyFont="1" applyBorder="1"/>
    <xf numFmtId="0" fontId="14" fillId="10" borderId="7" xfId="0" applyFont="1" applyFill="1" applyBorder="1"/>
    <xf numFmtId="0" fontId="14" fillId="10" borderId="8" xfId="0" applyFont="1" applyFill="1" applyBorder="1"/>
    <xf numFmtId="0" fontId="14" fillId="10" borderId="8" xfId="0" applyFont="1" applyFill="1" applyBorder="1" applyAlignment="1">
      <alignment wrapText="1"/>
    </xf>
    <xf numFmtId="14" fontId="14" fillId="10" borderId="8" xfId="0" applyNumberFormat="1" applyFont="1" applyFill="1" applyBorder="1"/>
    <xf numFmtId="0" fontId="14" fillId="11" borderId="9" xfId="0" applyFont="1" applyFill="1" applyBorder="1"/>
    <xf numFmtId="0" fontId="14" fillId="12" borderId="7" xfId="0" applyFont="1" applyFill="1" applyBorder="1"/>
    <xf numFmtId="0" fontId="14" fillId="12" borderId="8" xfId="0" applyFont="1" applyFill="1" applyBorder="1"/>
    <xf numFmtId="0" fontId="14" fillId="12" borderId="8" xfId="0" applyFont="1" applyFill="1" applyBorder="1" applyAlignment="1">
      <alignment wrapText="1"/>
    </xf>
    <xf numFmtId="14" fontId="14" fillId="12" borderId="8" xfId="0" applyNumberFormat="1" applyFont="1" applyFill="1" applyBorder="1"/>
    <xf numFmtId="0" fontId="14" fillId="10" borderId="0" xfId="0" applyFont="1" applyFill="1"/>
    <xf numFmtId="0" fontId="7" fillId="0" borderId="8" xfId="0" applyFont="1" applyBorder="1"/>
    <xf numFmtId="14" fontId="7" fillId="0" borderId="8" xfId="0" applyNumberFormat="1" applyFont="1" applyBorder="1"/>
    <xf numFmtId="14" fontId="14" fillId="12" borderId="0" xfId="0" applyNumberFormat="1" applyFont="1" applyFill="1"/>
    <xf numFmtId="0" fontId="14" fillId="10" borderId="0" xfId="0" applyFont="1" applyFill="1" applyAlignment="1">
      <alignment wrapText="1"/>
    </xf>
    <xf numFmtId="0" fontId="7" fillId="0" borderId="8" xfId="0" applyFont="1" applyBorder="1" applyAlignment="1">
      <alignment wrapText="1"/>
    </xf>
    <xf numFmtId="14" fontId="15" fillId="0" borderId="0" xfId="0" applyNumberFormat="1" applyFont="1"/>
    <xf numFmtId="164" fontId="7" fillId="0" borderId="0" xfId="0" applyNumberFormat="1" applyFont="1"/>
    <xf numFmtId="14" fontId="13" fillId="0" borderId="0" xfId="0" applyNumberFormat="1" applyFont="1"/>
    <xf numFmtId="2" fontId="7" fillId="0" borderId="0" xfId="0" applyNumberFormat="1" applyFont="1" applyAlignment="1">
      <alignment horizontal="right"/>
    </xf>
    <xf numFmtId="0" fontId="7" fillId="13" borderId="11" xfId="0" applyFont="1" applyFill="1" applyBorder="1"/>
    <xf numFmtId="0" fontId="7" fillId="13" borderId="10" xfId="0" applyFont="1" applyFill="1" applyBorder="1"/>
    <xf numFmtId="0" fontId="7" fillId="13" borderId="10" xfId="0" applyFont="1" applyFill="1" applyBorder="1" applyAlignment="1">
      <alignment wrapText="1"/>
    </xf>
    <xf numFmtId="2" fontId="7" fillId="13" borderId="10" xfId="0" applyNumberFormat="1" applyFont="1" applyFill="1" applyBorder="1"/>
    <xf numFmtId="0" fontId="7" fillId="14" borderId="11" xfId="0" applyFont="1" applyFill="1" applyBorder="1"/>
    <xf numFmtId="0" fontId="7" fillId="14" borderId="10" xfId="0" applyFont="1" applyFill="1" applyBorder="1"/>
    <xf numFmtId="0" fontId="7" fillId="14" borderId="10" xfId="0" applyFont="1" applyFill="1" applyBorder="1" applyAlignment="1">
      <alignment wrapText="1"/>
    </xf>
    <xf numFmtId="0" fontId="5" fillId="7" borderId="4" xfId="2" applyFont="1" applyFill="1" applyAlignment="1">
      <alignment horizontal="center"/>
    </xf>
  </cellXfs>
  <cellStyles count="5">
    <cellStyle name="20% - Accent1" xfId="4" builtinId="30"/>
    <cellStyle name="Hyperlink" xfId="1" builtinId="8"/>
    <cellStyle name="Kop 1" xfId="2" builtinId="16"/>
    <cellStyle name="Kop 2" xfId="3" builtinId="17"/>
    <cellStyle name="Standaard" xfId="0" builtinId="0"/>
  </cellStyles>
  <dxfs count="40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/mm/dd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96.766228703702" createdVersion="8" refreshedVersion="8" minRefreshableVersion="3" recordCount="158" xr:uid="{4ABFEEE8-3AE0-40B1-8CFE-C134C7CA893C}">
  <cacheSource type="worksheet">
    <worksheetSource name="Timeform"/>
  </cacheSource>
  <cacheFields count="8">
    <cacheField name="Naam" numFmtId="0">
      <sharedItems containsBlank="1" count="12">
        <s v="Edward"/>
        <s v="Tim"/>
        <s v="Kai"/>
        <s v="Nicky"/>
        <s v="Rick"/>
        <m/>
        <s v="Ernst" u="1"/>
        <s v="Martijn" u="1"/>
        <s v="Maarten" u="1"/>
        <s v="Ward" u="1"/>
        <s v="Eltjo" u="1"/>
        <s v="Thomas" u="1"/>
      </sharedItems>
    </cacheField>
    <cacheField name="Proces" numFmtId="0">
      <sharedItems containsBlank="1" count="10">
        <s v="Requirementsanalyseproces"/>
        <s v="Scrumproces"/>
        <s v="Beheerproces"/>
        <s v="Ontwerpproces"/>
        <s v="Testproces"/>
        <s v="Implementatieproces"/>
        <s v="nvt"/>
        <m/>
        <s v="Overig" u="1"/>
        <s v="SCRUM_proces" u="1"/>
      </sharedItems>
    </cacheField>
    <cacheField name="Vaaridigheid" numFmtId="0">
      <sharedItems containsBlank="1"/>
    </cacheField>
    <cacheField name="Omschrijving werkzaamheden" numFmtId="0">
      <sharedItems containsBlank="1"/>
    </cacheField>
    <cacheField name="Datum" numFmtId="0">
      <sharedItems containsNonDate="0" containsDate="1" containsString="0" containsBlank="1" minDate="2025-10-11T00:00:00" maxDate="2025-12-06T00:00:00"/>
    </cacheField>
    <cacheField name="Uren" numFmtId="0">
      <sharedItems containsString="0" containsBlank="1" containsNumber="1" minValue="0" maxValue="10"/>
    </cacheField>
    <cacheField name="Sprint nr" numFmtId="0">
      <sharedItems containsBlank="1" containsMixedTypes="1" containsNumber="1" containsInteger="1" minValue="1" maxValue="9" count="11">
        <s v="Sprint 0"/>
        <s v="Sprint 1"/>
        <s v="Sprint 2"/>
        <s v="Sprint 0-1"/>
        <m/>
        <n v="1" u="1"/>
        <n v="2" u="1"/>
        <n v="6" u="1"/>
        <n v="7" u="1"/>
        <n v="8" u="1"/>
        <n v="9" u="1"/>
      </sharedItems>
    </cacheField>
    <cacheField name="Activiteit" numFmtId="0">
      <sharedItems containsBlank="1" containsMixedTypes="1" containsNumber="1" containsInteger="1" minValue="0" maxValue="0" count="8">
        <s v="Analyseren"/>
        <s v="Manage &amp; Control"/>
        <s v="Realiseren"/>
        <s v="Ontwerpen"/>
        <m/>
        <s v="Adviseren"/>
        <e v="#N/A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x v="0"/>
    <x v="0"/>
    <s v="Bestuderen  probleemstelling"/>
    <s v="Analyse projectomschrijving en de oplossingsmogelijkheden"/>
    <d v="2025-10-11T00:00:00"/>
    <n v="0.5"/>
    <x v="0"/>
    <x v="0"/>
  </r>
  <r>
    <x v="0"/>
    <x v="0"/>
    <s v="Beschrijven stakeholders"/>
    <s v="Analyse van de users en hun behoeftes &amp; de stakeholders"/>
    <d v="2025-10-11T00:00:00"/>
    <n v="1"/>
    <x v="0"/>
    <x v="0"/>
  </r>
  <r>
    <x v="0"/>
    <x v="0"/>
    <s v="Uitvragen requirements"/>
    <s v="Opstellen van requirements"/>
    <d v="2025-10-11T00:00:00"/>
    <n v="0.5"/>
    <x v="0"/>
    <x v="0"/>
  </r>
  <r>
    <x v="0"/>
    <x v="0"/>
    <s v="Prioriteren requirements"/>
    <s v="Opstellen van requirements"/>
    <d v="2025-10-11T00:00:00"/>
    <n v="0.5"/>
    <x v="0"/>
    <x v="0"/>
  </r>
  <r>
    <x v="0"/>
    <x v="0"/>
    <s v="Vastleggen requirements"/>
    <s v="Opstellen van requirements"/>
    <d v="2025-10-11T00:00:00"/>
    <n v="1"/>
    <x v="0"/>
    <x v="0"/>
  </r>
  <r>
    <x v="0"/>
    <x v="0"/>
    <s v="Opsplitsen functionele en non-functionele requirements"/>
    <s v="Opstellen van requirements"/>
    <d v="2025-10-11T00:00:00"/>
    <n v="0.5"/>
    <x v="0"/>
    <x v="0"/>
  </r>
  <r>
    <x v="0"/>
    <x v="0"/>
    <s v="Maken domeinmodel"/>
    <s v="Opstellen van het Functioneel ontwerp"/>
    <d v="2025-10-11T00:00:00"/>
    <n v="1.5"/>
    <x v="0"/>
    <x v="0"/>
  </r>
  <r>
    <x v="1"/>
    <x v="1"/>
    <s v="Aangeven behoeften"/>
    <s v="Scrumworkshop gevolgd"/>
    <d v="2025-11-11T00:00:00"/>
    <n v="3"/>
    <x v="0"/>
    <x v="1"/>
  </r>
  <r>
    <x v="0"/>
    <x v="1"/>
    <s v="Aangeven behoeften"/>
    <s v="Scrumworkshop gevolgd"/>
    <d v="2025-11-11T00:00:00"/>
    <n v="3"/>
    <x v="0"/>
    <x v="1"/>
  </r>
  <r>
    <x v="2"/>
    <x v="1"/>
    <s v="Aangeven behoeften"/>
    <s v="Scrumworkshop gevolgd"/>
    <d v="2025-11-11T00:00:00"/>
    <n v="3"/>
    <x v="0"/>
    <x v="1"/>
  </r>
  <r>
    <x v="1"/>
    <x v="2"/>
    <s v="Fork maken"/>
    <s v="Git aangemaakt"/>
    <d v="2025-11-11T00:00:00"/>
    <n v="1"/>
    <x v="0"/>
    <x v="1"/>
  </r>
  <r>
    <x v="1"/>
    <x v="1"/>
    <s v="Bepalen werklast"/>
    <s v="Onderzoek en vragen gesteld om opdracht duidelijker te maken voor de groep."/>
    <d v="2025-11-11T00:00:00"/>
    <n v="1"/>
    <x v="0"/>
    <x v="0"/>
  </r>
  <r>
    <x v="1"/>
    <x v="1"/>
    <s v="Reviewen werk"/>
    <s v="Al door requirements en functioneel ontwerp gekeken, feedback wacht tot morgen met product owner."/>
    <d v="2025-11-11T00:00:00"/>
    <n v="0.75"/>
    <x v="0"/>
    <x v="2"/>
  </r>
  <r>
    <x v="0"/>
    <x v="0"/>
    <s v="Organiseren requirements"/>
    <s v="Ontwerp wireframe schermen"/>
    <d v="2025-11-11T00:00:00"/>
    <n v="2"/>
    <x v="0"/>
    <x v="1"/>
  </r>
  <r>
    <x v="0"/>
    <x v="3"/>
    <s v="Uitleg werking systeem"/>
    <s v="Concept van het Technisch Ontwerp opgesteld"/>
    <d v="2025-11-11T00:00:00"/>
    <n v="2"/>
    <x v="0"/>
    <x v="3"/>
  </r>
  <r>
    <x v="1"/>
    <x v="2"/>
    <s v="Inrichten .gitignore"/>
    <s v="Gitignore gemaakt en nagekeken"/>
    <d v="2025-11-11T00:00:00"/>
    <n v="0.5"/>
    <x v="0"/>
    <x v="1"/>
  </r>
  <r>
    <x v="1"/>
    <x v="2"/>
    <s v="Kiezen branchingstrategie"/>
    <s v="Github flow"/>
    <d v="2025-11-11T00:00:00"/>
    <n v="0.25"/>
    <x v="0"/>
    <x v="2"/>
  </r>
  <r>
    <x v="3"/>
    <x v="1"/>
    <s v="Reviewen werk"/>
    <s v="Reviewen Edwards werk"/>
    <d v="2025-11-11T00:00:00"/>
    <n v="0.5"/>
    <x v="0"/>
    <x v="2"/>
  </r>
  <r>
    <x v="3"/>
    <x v="0"/>
    <s v="Bestuderen  probleemstelling"/>
    <s v="Bestuderen opdracht"/>
    <d v="2025-11-11T00:00:00"/>
    <n v="1"/>
    <x v="0"/>
    <x v="0"/>
  </r>
  <r>
    <x v="0"/>
    <x v="4"/>
    <s v="Verzamelen testscenarios"/>
    <s v="Opstellen van Testontwerp"/>
    <d v="2025-11-12T00:00:00"/>
    <n v="1"/>
    <x v="0"/>
    <x v="3"/>
  </r>
  <r>
    <x v="0"/>
    <x v="4"/>
    <s v="Verzamelen testcases"/>
    <s v="Opstellen van Testontwerp"/>
    <d v="2025-11-12T00:00:00"/>
    <n v="1"/>
    <x v="0"/>
    <x v="3"/>
  </r>
  <r>
    <x v="0"/>
    <x v="4"/>
    <s v="Opstellen schriftelijke testcase"/>
    <s v="Opstellen van Testontwerp"/>
    <d v="2025-11-12T00:00:00"/>
    <n v="0.5"/>
    <x v="0"/>
    <x v="2"/>
  </r>
  <r>
    <x v="0"/>
    <x v="4"/>
    <s v="Opstellen schriftelijke testcase"/>
    <s v="Opstellen van het concept van het Testrapportage"/>
    <d v="2025-11-12T00:00:00"/>
    <n v="1"/>
    <x v="0"/>
    <x v="2"/>
  </r>
  <r>
    <x v="1"/>
    <x v="1"/>
    <s v="Reviewen werk"/>
    <s v="Review alle documentatie van Edward"/>
    <d v="2025-11-13T00:00:00"/>
    <n v="2"/>
    <x v="0"/>
    <x v="4"/>
  </r>
  <r>
    <x v="1"/>
    <x v="1"/>
    <s v="Feedback geven"/>
    <s v="Feedback geven gebaseert op review"/>
    <d v="2025-11-13T00:00:00"/>
    <n v="0.5"/>
    <x v="0"/>
    <x v="5"/>
  </r>
  <r>
    <x v="0"/>
    <x v="1"/>
    <s v="Feedback ontvangen"/>
    <s v="Review en discussie mbt Feedback team"/>
    <d v="2025-11-13T00:00:00"/>
    <n v="0.5"/>
    <x v="0"/>
    <x v="5"/>
  </r>
  <r>
    <x v="0"/>
    <x v="0"/>
    <s v="Maken domeinmodel"/>
    <s v="Aanpassen en verrijken van het Functioneel ontwerp"/>
    <d v="2025-11-13T00:00:00"/>
    <n v="3.5"/>
    <x v="0"/>
    <x v="0"/>
  </r>
  <r>
    <x v="3"/>
    <x v="1"/>
    <s v="Noteren actiepunten"/>
    <s v="Notities opstellen in de requirement analyse"/>
    <d v="2025-11-13T00:00:00"/>
    <n v="2.5"/>
    <x v="0"/>
    <x v="5"/>
  </r>
  <r>
    <x v="3"/>
    <x v="1"/>
    <s v="Reviewen werk"/>
    <s v="Reviewen van alle documenten"/>
    <d v="2025-11-14T00:00:00"/>
    <n v="1"/>
    <x v="0"/>
    <x v="2"/>
  </r>
  <r>
    <x v="0"/>
    <x v="1"/>
    <s v="Feedback verwerken"/>
    <s v="Opstellen van het Projectdocument "/>
    <d v="2025-11-14T00:00:00"/>
    <n v="2.5"/>
    <x v="0"/>
    <x v="5"/>
  </r>
  <r>
    <x v="1"/>
    <x v="1"/>
    <s v="Prioriteren productbacklog"/>
    <s v="Prioriteiten aanpassen"/>
    <d v="2025-11-14T00:00:00"/>
    <n v="0.5"/>
    <x v="0"/>
    <x v="0"/>
  </r>
  <r>
    <x v="1"/>
    <x v="1"/>
    <s v="Reviewen werk"/>
    <s v="Review projectdocument"/>
    <d v="2025-11-14T00:00:00"/>
    <n v="0.75"/>
    <x v="0"/>
    <x v="2"/>
  </r>
  <r>
    <x v="1"/>
    <x v="2"/>
    <s v="Maken geversioneerde release"/>
    <s v="Documenten klaarzetten voor release sprint 0"/>
    <d v="2025-11-14T00:00:00"/>
    <n v="0.75"/>
    <x v="0"/>
    <x v="2"/>
  </r>
  <r>
    <x v="0"/>
    <x v="1"/>
    <s v="Reviewen werk"/>
    <s v="Review Sprint 0 aan teamleden"/>
    <d v="2025-11-14T00:00:00"/>
    <n v="0.75"/>
    <x v="0"/>
    <x v="2"/>
  </r>
  <r>
    <x v="0"/>
    <x v="1"/>
    <s v="Werk presenteren"/>
    <s v="Opstellen van een demo-presentatie"/>
    <d v="2025-11-16T00:00:00"/>
    <n v="2"/>
    <x v="0"/>
    <x v="5"/>
  </r>
  <r>
    <x v="0"/>
    <x v="1"/>
    <s v="Werk presenteren"/>
    <s v="Presentatie en retrospectief"/>
    <d v="2025-11-17T00:00:00"/>
    <n v="0.5"/>
    <x v="0"/>
    <x v="5"/>
  </r>
  <r>
    <x v="1"/>
    <x v="1"/>
    <s v="Opstellen productbacklog"/>
    <s v="Workshop gevolgd"/>
    <d v="2025-11-18T00:00:00"/>
    <n v="3"/>
    <x v="1"/>
    <x v="0"/>
  </r>
  <r>
    <x v="0"/>
    <x v="1"/>
    <s v="Opstellen productbacklog"/>
    <s v="Workshop gevolgd"/>
    <d v="2025-11-18T00:00:00"/>
    <n v="3"/>
    <x v="1"/>
    <x v="0"/>
  </r>
  <r>
    <x v="2"/>
    <x v="1"/>
    <s v="Opstellen productbacklog"/>
    <s v="Workshop gevolgd"/>
    <d v="2025-11-18T00:00:00"/>
    <n v="3"/>
    <x v="1"/>
    <x v="0"/>
  </r>
  <r>
    <x v="1"/>
    <x v="1"/>
    <s v="Vaststellen sprintdoel"/>
    <s v="Trello opgezet met taken"/>
    <d v="2025-11-18T00:00:00"/>
    <n v="0.5"/>
    <x v="1"/>
    <x v="0"/>
  </r>
  <r>
    <x v="1"/>
    <x v="5"/>
    <s v="Structureer code"/>
    <s v="Framework gemaakt"/>
    <d v="2025-11-18T00:00:00"/>
    <n v="0.75"/>
    <x v="1"/>
    <x v="2"/>
  </r>
  <r>
    <x v="1"/>
    <x v="2"/>
    <s v="Doorvoeren PR naar dev"/>
    <s v="Framework in develop gezet voor review"/>
    <d v="2025-11-18T00:00:00"/>
    <n v="0.75"/>
    <x v="1"/>
    <x v="2"/>
  </r>
  <r>
    <x v="1"/>
    <x v="1"/>
    <s v="Reviewen werk"/>
    <s v="Nagecheckt of framework werkt via het clonen van repository."/>
    <d v="2025-11-18T00:00:00"/>
    <n v="0.5"/>
    <x v="1"/>
    <x v="2"/>
  </r>
  <r>
    <x v="0"/>
    <x v="1"/>
    <s v="Afstemmen op behoeften omgeving"/>
    <s v="Scrumworkshop gevolgd"/>
    <d v="2025-11-18T00:00:00"/>
    <n v="1"/>
    <x v="1"/>
    <x v="1"/>
  </r>
  <r>
    <x v="0"/>
    <x v="3"/>
    <s v="Iteratief verfijnen ontwerp"/>
    <s v="Ontwikkelen en verbeteren van de code (UC1)"/>
    <d v="2025-11-19T00:00:00"/>
    <n v="5"/>
    <x v="1"/>
    <x v="3"/>
  </r>
  <r>
    <x v="1"/>
    <x v="5"/>
    <s v="Structureer code"/>
    <s v="Verbinding met MYSQL database opgezet, database als service toegevoegd. Testdatabase met beheerder gemaakt."/>
    <d v="2025-11-19T00:00:00"/>
    <n v="5"/>
    <x v="1"/>
    <x v="2"/>
  </r>
  <r>
    <x v="1"/>
    <x v="4"/>
    <s v="Uitvoeren handmatige test"/>
    <s v="Databaseverbinding getest"/>
    <d v="2025-11-19T00:00:00"/>
    <n v="0.5"/>
    <x v="1"/>
    <x v="2"/>
  </r>
  <r>
    <x v="0"/>
    <x v="3"/>
    <s v="Iteratief verfijnen ontwerp"/>
    <s v="Ontwikkelen en verbeteren van de code (UC2)"/>
    <d v="2025-11-20T00:00:00"/>
    <n v="3"/>
    <x v="1"/>
    <x v="3"/>
  </r>
  <r>
    <x v="0"/>
    <x v="5"/>
    <s v="Controleer aansluiting ontwerp"/>
    <s v="Bijwerken projectdocumentatie: Requirementsanalyse, Functioneel ontwerp, Technisch ontwerp, Testontwerp, Testrapportage"/>
    <d v="2025-11-20T00:00:00"/>
    <n v="4"/>
    <x v="1"/>
    <x v="2"/>
  </r>
  <r>
    <x v="3"/>
    <x v="5"/>
    <s v="Structureer code"/>
    <s v="Header opstellen"/>
    <d v="2025-11-20T00:00:00"/>
    <n v="3.5"/>
    <x v="1"/>
    <x v="2"/>
  </r>
  <r>
    <x v="1"/>
    <x v="5"/>
    <s v="Peerreviewen code"/>
    <s v="Review code UC1 &amp; UC2"/>
    <d v="2025-11-21T00:00:00"/>
    <n v="0.5"/>
    <x v="1"/>
    <x v="2"/>
  </r>
  <r>
    <x v="2"/>
    <x v="3"/>
    <s v="Controle communiceerbaarheid ontwerp"/>
    <s v="Uitwerken ontwerpdocument en samenvoeging bij prjectdocumentatie"/>
    <d v="2025-11-21T00:00:00"/>
    <n v="4"/>
    <x v="1"/>
    <x v="3"/>
  </r>
  <r>
    <x v="1"/>
    <x v="1"/>
    <s v="Reviewen werk"/>
    <s v="Projectdocumentatie, ontwerpdocument, en dashboard"/>
    <d v="2025-11-21T00:00:00"/>
    <n v="0.75"/>
    <x v="1"/>
    <x v="2"/>
  </r>
  <r>
    <x v="0"/>
    <x v="1"/>
    <s v="Monitoren voortgang sprintdoel"/>
    <s v="Monitoring voortgang, hulp aan anderen, testing enz."/>
    <d v="2025-11-21T00:00:00"/>
    <n v="0.5"/>
    <x v="1"/>
    <x v="2"/>
  </r>
  <r>
    <x v="3"/>
    <x v="1"/>
    <s v="Kiezen user stories"/>
    <s v="User stories opzetten"/>
    <d v="2025-11-21T00:00:00"/>
    <n v="1"/>
    <x v="1"/>
    <x v="0"/>
  </r>
  <r>
    <x v="1"/>
    <x v="2"/>
    <s v="Maken geversioneerde release"/>
    <s v="Dashboard naar develop met merge conflict, dat getest en opgelost, daarna naar main &amp; release."/>
    <d v="2025-11-21T00:00:00"/>
    <n v="0.5"/>
    <x v="1"/>
    <x v="2"/>
  </r>
  <r>
    <x v="1"/>
    <x v="5"/>
    <s v="Spoor fouten op"/>
    <s v="de fout ^"/>
    <d v="2025-11-21T00:00:00"/>
    <n v="0.25"/>
    <x v="1"/>
    <x v="2"/>
  </r>
  <r>
    <x v="3"/>
    <x v="1"/>
    <s v="Vaststellen sprintdoel"/>
    <s v="Opstellen van het Projectdocument "/>
    <d v="2025-11-21T00:00:00"/>
    <n v="4"/>
    <x v="1"/>
    <x v="0"/>
  </r>
  <r>
    <x v="3"/>
    <x v="1"/>
    <s v="Monitoren voortgang sprintdoel"/>
    <s v="Opstellen SCRUM retrospective"/>
    <d v="2025-11-21T00:00:00"/>
    <n v="1.5"/>
    <x v="1"/>
    <x v="2"/>
  </r>
  <r>
    <x v="0"/>
    <x v="1"/>
    <s v="Werk presenteren"/>
    <s v="Opstellen van een demo-presentatie Sprint 1"/>
    <d v="2025-11-22T00:00:00"/>
    <n v="0.75"/>
    <x v="1"/>
    <x v="5"/>
  </r>
  <r>
    <x v="0"/>
    <x v="1"/>
    <s v="Werk presenteren"/>
    <s v="Presentatie en retrospectief"/>
    <d v="2025-11-24T00:00:00"/>
    <n v="0.5"/>
    <x v="1"/>
    <x v="5"/>
  </r>
  <r>
    <x v="0"/>
    <x v="5"/>
    <s v="Controleer aansluiting ontwerp"/>
    <s v="Aanpassing en aanvulling van het Requirementsanalyse en het Functioneel ontwerp m.b.t. UC3 - UC5."/>
    <d v="2025-11-24T00:00:00"/>
    <n v="3"/>
    <x v="2"/>
    <x v="2"/>
  </r>
  <r>
    <x v="1"/>
    <x v="1"/>
    <s v="Ondersteunen teamlid"/>
    <s v="Helpen met error visual studio"/>
    <d v="2025-11-25T00:00:00"/>
    <n v="0.5"/>
    <x v="2"/>
    <x v="5"/>
  </r>
  <r>
    <x v="1"/>
    <x v="5"/>
    <s v="Structureer code"/>
    <s v="Styling"/>
    <d v="2025-11-25T00:00:00"/>
    <n v="4"/>
    <x v="2"/>
    <x v="2"/>
  </r>
  <r>
    <x v="0"/>
    <x v="5"/>
    <s v="Controleer aansluiting ontwerp"/>
    <s v="Aanpassing en aanvulling van Technisch Ontwerp v1.2.0 m.b.t. UC3-UC5 incl. nieuwe diagrammen"/>
    <d v="2025-11-25T00:00:00"/>
    <n v="5"/>
    <x v="2"/>
    <x v="2"/>
  </r>
  <r>
    <x v="0"/>
    <x v="3"/>
    <s v="Controle toepassing ontwerptechnieken"/>
    <s v="Ontwerpen oefenscherm"/>
    <d v="2025-11-25T00:00:00"/>
    <n v="1"/>
    <x v="2"/>
    <x v="3"/>
  </r>
  <r>
    <x v="3"/>
    <x v="5"/>
    <s v="Structureer code"/>
    <s v="Header "/>
    <d v="2025-11-25T00:00:00"/>
    <n v="4"/>
    <x v="2"/>
    <x v="2"/>
  </r>
  <r>
    <x v="1"/>
    <x v="0"/>
    <s v="Bestuderen  probleemstelling"/>
    <s v="Workshop gevolgd"/>
    <d v="2025-11-26T00:00:00"/>
    <n v="3"/>
    <x v="2"/>
    <x v="0"/>
  </r>
  <r>
    <x v="0"/>
    <x v="0"/>
    <s v="Bestuderen  probleemstelling"/>
    <s v="Workshop gevolgd"/>
    <d v="2025-11-26T00:00:00"/>
    <n v="3"/>
    <x v="2"/>
    <x v="0"/>
  </r>
  <r>
    <x v="1"/>
    <x v="5"/>
    <s v="Structureer code"/>
    <s v="Styling"/>
    <d v="2025-11-26T00:00:00"/>
    <n v="1.5"/>
    <x v="2"/>
    <x v="2"/>
  </r>
  <r>
    <x v="1"/>
    <x v="5"/>
    <s v="Spoor fouten op"/>
    <s v="Begonnen met foute database van vorige sprint veilig weghalen"/>
    <d v="2025-11-26T00:00:00"/>
    <n v="1"/>
    <x v="2"/>
    <x v="2"/>
  </r>
  <r>
    <x v="0"/>
    <x v="4"/>
    <s v="Verzamelen testcases"/>
    <s v="Aanpassing en aanvulliong het Testontwerp en het Testrapportage v1.2.0"/>
    <d v="2025-11-26T00:00:00"/>
    <n v="3"/>
    <x v="2"/>
    <x v="3"/>
  </r>
  <r>
    <x v="3"/>
    <x v="5"/>
    <s v="Structureer code"/>
    <s v="Header IDE fouten oplossen"/>
    <d v="2025-11-26T00:00:00"/>
    <n v="3"/>
    <x v="2"/>
    <x v="2"/>
  </r>
  <r>
    <x v="2"/>
    <x v="5"/>
    <s v="Structureer code"/>
    <s v="Oefenzinnen opstellen 1/2"/>
    <d v="2025-11-26T00:00:00"/>
    <n v="2.5"/>
    <x v="1"/>
    <x v="2"/>
  </r>
  <r>
    <x v="1"/>
    <x v="5"/>
    <s v="Spoor fouten op"/>
    <s v="Foute database weg"/>
    <d v="2025-11-27T00:00:00"/>
    <n v="1"/>
    <x v="2"/>
    <x v="2"/>
  </r>
  <r>
    <x v="0"/>
    <x v="3"/>
    <s v="Iteratief verfijnen ontwerp"/>
    <s v="Code verfijnen en werkend maken"/>
    <d v="2025-11-27T00:00:00"/>
    <n v="2"/>
    <x v="2"/>
    <x v="3"/>
  </r>
  <r>
    <x v="2"/>
    <x v="5"/>
    <s v="Structureer code"/>
    <s v="Oefenzinnen opstellen 2/2"/>
    <d v="2025-11-27T00:00:00"/>
    <n v="1.5"/>
    <x v="1"/>
    <x v="2"/>
  </r>
  <r>
    <x v="1"/>
    <x v="5"/>
    <s v="Structureer code"/>
    <s v="Makkelijke zinnen aan resource toegevoegd, en op de oefenpagina functies gemaakt om ze in willekeurige volgorde weer te geven."/>
    <d v="2025-11-28T00:00:00"/>
    <n v="3"/>
    <x v="2"/>
    <x v="2"/>
  </r>
  <r>
    <x v="0"/>
    <x v="3"/>
    <s v="Iteratief verfijnen ontwerp"/>
    <s v="Code verfijnen en werkend maken"/>
    <d v="2025-11-28T00:00:00"/>
    <n v="2"/>
    <x v="2"/>
    <x v="3"/>
  </r>
  <r>
    <x v="3"/>
    <x v="0"/>
    <s v="Bestuderen  probleemstelling"/>
    <s v="Bestuderen words per minute"/>
    <d v="2025-11-28T00:00:00"/>
    <n v="2"/>
    <x v="2"/>
    <x v="0"/>
  </r>
  <r>
    <x v="2"/>
    <x v="3"/>
    <s v="Iteratief verfijnen ontwerp"/>
    <s v="Ontewerpdocument aanmaken"/>
    <d v="2025-11-28T00:00:00"/>
    <n v="2.5"/>
    <x v="1"/>
    <x v="3"/>
  </r>
  <r>
    <x v="1"/>
    <x v="5"/>
    <s v="Structureer code"/>
    <s v="Middelmatige en moeilijke zinnen aan resource toegevoegd, de oefenpagina functie aangepast om die nu ook te gebruiken"/>
    <d v="2025-11-29T00:00:00"/>
    <n v="2"/>
    <x v="2"/>
    <x v="2"/>
  </r>
  <r>
    <x v="4"/>
    <x v="5"/>
    <s v="Structureer code"/>
    <s v="De fout detectie van de user input toegevoegd. De textkleur is nu groen als het correct is en rood als het fout is."/>
    <d v="2025-11-29T00:00:00"/>
    <n v="4"/>
    <x v="2"/>
    <x v="2"/>
  </r>
  <r>
    <x v="1"/>
    <x v="1"/>
    <s v="Feedback geven"/>
    <s v="Code foutdetectie"/>
    <d v="2025-11-29T00:00:00"/>
    <n v="0.5"/>
    <x v="2"/>
    <x v="5"/>
  </r>
  <r>
    <x v="4"/>
    <x v="5"/>
    <s v="Structureer code"/>
    <s v="Fouten teller toegevoegd, de zinsselectie verhuisd naar een apparte service bestand, een difficulty enum aangemaakt en de zinsselectie geintegeerd met de fout detectie."/>
    <d v="2025-11-30T00:00:00"/>
    <n v="4.5"/>
    <x v="2"/>
    <x v="2"/>
  </r>
  <r>
    <x v="1"/>
    <x v="1"/>
    <s v="Feedback geven"/>
    <s v="Code foutdetectie V2"/>
    <d v="2025-12-01T00:00:00"/>
    <n v="0.75"/>
    <x v="2"/>
    <x v="5"/>
  </r>
  <r>
    <x v="1"/>
    <x v="5"/>
    <s v="Structureer code"/>
    <s v="Dashboard styling verbeterd, en omgezet tot in het styledocument zodat er geen styling meer op de pagina staat. Het is veel schoner nu"/>
    <d v="2025-12-01T00:00:00"/>
    <n v="3"/>
    <x v="2"/>
    <x v="2"/>
  </r>
  <r>
    <x v="0"/>
    <x v="5"/>
    <s v="Structureer code"/>
    <s v="Code schoonmaken (clean architecture)"/>
    <d v="2025-12-01T00:00:00"/>
    <n v="10"/>
    <x v="2"/>
    <x v="2"/>
  </r>
  <r>
    <x v="2"/>
    <x v="1"/>
    <s v="Werk presenteren"/>
    <s v="Presentatieslides maken"/>
    <d v="2025-12-01T00:00:00"/>
    <n v="0.5"/>
    <x v="2"/>
    <x v="5"/>
  </r>
  <r>
    <x v="1"/>
    <x v="1"/>
    <s v="Prioriteren productbacklog"/>
    <s v="Workshop gevolgd"/>
    <d v="2025-12-02T00:00:00"/>
    <n v="2"/>
    <x v="2"/>
    <x v="0"/>
  </r>
  <r>
    <x v="0"/>
    <x v="1"/>
    <s v="Prioriteren productbacklog"/>
    <s v="Workshop gevolgd"/>
    <d v="2025-12-02T00:00:00"/>
    <n v="2"/>
    <x v="2"/>
    <x v="0"/>
  </r>
  <r>
    <x v="2"/>
    <x v="1"/>
    <s v="Prioriteren productbacklog"/>
    <s v="Workshop gevolgd"/>
    <d v="2025-12-02T00:00:00"/>
    <n v="2"/>
    <x v="2"/>
    <x v="0"/>
  </r>
  <r>
    <x v="3"/>
    <x v="1"/>
    <s v="Prioriteren productbacklog"/>
    <s v="Workshop gevolgd"/>
    <d v="2025-12-02T00:00:00"/>
    <n v="2"/>
    <x v="2"/>
    <x v="0"/>
  </r>
  <r>
    <x v="1"/>
    <x v="5"/>
    <s v="Structureer code"/>
    <s v="Styling helemaal klaar, iconen toegevoegd, geen style meer op de pagina's zelf."/>
    <d v="2025-12-02T00:00:00"/>
    <n v="4"/>
    <x v="2"/>
    <x v="2"/>
  </r>
  <r>
    <x v="1"/>
    <x v="1"/>
    <s v="Ondersteunen teamlid"/>
    <s v="Hulp clean architecture"/>
    <d v="2025-12-02T00:00:00"/>
    <n v="0.5"/>
    <x v="2"/>
    <x v="5"/>
  </r>
  <r>
    <x v="1"/>
    <x v="5"/>
    <s v="Structureer code"/>
    <s v="Header grotendeels af"/>
    <d v="2025-12-03T00:00:00"/>
    <n v="2"/>
    <x v="2"/>
    <x v="2"/>
  </r>
  <r>
    <x v="2"/>
    <x v="1"/>
    <s v="Ondersteunen teamlid"/>
    <s v="Geholpen visual studio werkend te krijgen"/>
    <d v="2025-12-03T00:00:00"/>
    <n v="1"/>
    <x v="2"/>
    <x v="5"/>
  </r>
  <r>
    <x v="3"/>
    <x v="1"/>
    <s v="Prioriteren productbacklog"/>
    <s v="Workshop gevolgd "/>
    <d v="2025-12-03T00:00:00"/>
    <n v="2"/>
    <x v="2"/>
    <x v="0"/>
  </r>
  <r>
    <x v="1"/>
    <x v="5"/>
    <s v="Structureer code"/>
    <s v="Header compleet af"/>
    <d v="2025-12-04T00:00:00"/>
    <n v="1.5"/>
    <x v="2"/>
    <x v="2"/>
  </r>
  <r>
    <x v="3"/>
    <x v="5"/>
    <s v="Structureer code"/>
    <s v="Colour blind mode"/>
    <d v="2025-12-04T00:00:00"/>
    <n v="2"/>
    <x v="2"/>
    <x v="2"/>
  </r>
  <r>
    <x v="0"/>
    <x v="5"/>
    <s v="Structureer code"/>
    <s v="Code schoonmaken (clean architecture)"/>
    <d v="2025-12-04T00:00:00"/>
    <n v="6"/>
    <x v="2"/>
    <x v="2"/>
  </r>
  <r>
    <x v="2"/>
    <x v="5"/>
    <s v="Structureer code"/>
    <s v="Vervolg Oefentimer maken"/>
    <d v="2025-12-04T00:00:00"/>
    <n v="2.5"/>
    <x v="2"/>
    <x v="2"/>
  </r>
  <r>
    <x v="0"/>
    <x v="1"/>
    <s v="Inzichtelijk maken voortgang"/>
    <s v="Teamoverleg dagelijks laatste twee weken met besprekingen over de voortgang, belemmeringen, problemen, oplossingen enz."/>
    <d v="2025-12-05T00:00:00"/>
    <n v="4"/>
    <x v="2"/>
    <x v="2"/>
  </r>
  <r>
    <x v="0"/>
    <x v="1"/>
    <s v="Monitoren voortgang sprintdoel"/>
    <s v="Monitoring voortgang, hulp aan anderen, testing enz."/>
    <d v="2025-12-05T00:00:00"/>
    <n v="2"/>
    <x v="2"/>
    <x v="2"/>
  </r>
  <r>
    <x v="2"/>
    <x v="5"/>
    <s v="Structureer code"/>
    <s v="Maken van oefentimer"/>
    <d v="2025-12-05T00:00:00"/>
    <n v="3"/>
    <x v="2"/>
    <x v="2"/>
  </r>
  <r>
    <x v="1"/>
    <x v="1"/>
    <s v="Ondersteunen teamlid"/>
    <s v="Hulp met git"/>
    <d v="2025-12-05T00:00:00"/>
    <n v="1"/>
    <x v="2"/>
    <x v="5"/>
  </r>
  <r>
    <x v="2"/>
    <x v="4"/>
    <s v="Uitvoeren handmatige test"/>
    <s v="Oefentimer compleet getest"/>
    <d v="2025-12-05T00:00:00"/>
    <n v="0.5"/>
    <x v="2"/>
    <x v="2"/>
  </r>
  <r>
    <x v="2"/>
    <x v="1"/>
    <s v="Oplossen belemmeringen"/>
    <s v="Originele foutieve code aangepast tot het huidige ontwerp"/>
    <d v="2025-12-05T00:00:00"/>
    <n v="0.5"/>
    <x v="2"/>
    <x v="2"/>
  </r>
  <r>
    <x v="2"/>
    <x v="6"/>
    <s v="nvt"/>
    <s v="Heel sprint 0-half sprint 1 ziekteverzuim wegens operatie."/>
    <m/>
    <n v="0"/>
    <x v="3"/>
    <x v="6"/>
  </r>
  <r>
    <x v="1"/>
    <x v="1"/>
    <s v="Ondersteunen teamlid"/>
    <s v="Helpen merge conflict"/>
    <d v="2025-12-05T00:00:00"/>
    <n v="0.75"/>
    <x v="2"/>
    <x v="5"/>
  </r>
  <r>
    <x v="0"/>
    <x v="4"/>
    <s v="Uitvoeren handmatige test"/>
    <s v="Oefenpagina testen en Testrapportage invullen"/>
    <d v="2025-12-05T00:00:00"/>
    <n v="2"/>
    <x v="2"/>
    <x v="2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  <r>
    <x v="5"/>
    <x v="7"/>
    <m/>
    <m/>
    <m/>
    <m/>
    <x v="4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6164-73B9-42AE-B078-B07C1586FAE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B3:C60" firstHeaderRow="1" firstDataRow="1" firstDataCol="1"/>
  <pivotFields count="8">
    <pivotField axis="axisRow" showAll="0" sortType="ascending">
      <items count="13">
        <item x="0"/>
        <item h="1" m="1" x="10"/>
        <item h="1" m="1" x="6"/>
        <item x="2"/>
        <item h="1" m="1" x="8"/>
        <item h="1" m="1" x="7"/>
        <item x="3"/>
        <item h="1" x="4"/>
        <item h="1" m="1" x="11"/>
        <item x="1"/>
        <item m="1" x="9"/>
        <item x="5"/>
        <item t="default"/>
      </items>
    </pivotField>
    <pivotField axis="axisRow" showAll="0">
      <items count="11">
        <item x="2"/>
        <item x="5"/>
        <item x="3"/>
        <item x="0"/>
        <item x="7"/>
        <item x="4"/>
        <item m="1" x="9"/>
        <item m="1" x="8"/>
        <item x="1"/>
        <item x="6"/>
        <item t="default"/>
      </items>
    </pivotField>
    <pivotField showAll="0"/>
    <pivotField showAll="0"/>
    <pivotField showAll="0"/>
    <pivotField dataField="1" showAll="0"/>
    <pivotField axis="axisRow" showAll="0">
      <items count="12">
        <item m="1" x="5"/>
        <item m="1" x="7"/>
        <item m="1" x="8"/>
        <item m="1" x="9"/>
        <item m="1" x="10"/>
        <item x="4"/>
        <item m="1" x="6"/>
        <item x="0"/>
        <item x="1"/>
        <item x="2"/>
        <item x="3"/>
        <item t="default"/>
      </items>
    </pivotField>
    <pivotField showAll="0"/>
  </pivotFields>
  <rowFields count="3">
    <field x="0"/>
    <field x="6"/>
    <field x="1"/>
  </rowFields>
  <rowItems count="57">
    <i>
      <x/>
    </i>
    <i r="1">
      <x v="7"/>
    </i>
    <i r="2">
      <x v="2"/>
    </i>
    <i r="2">
      <x v="3"/>
    </i>
    <i r="2">
      <x v="5"/>
    </i>
    <i r="2">
      <x v="8"/>
    </i>
    <i r="1">
      <x v="8"/>
    </i>
    <i r="2">
      <x v="1"/>
    </i>
    <i r="2">
      <x v="2"/>
    </i>
    <i r="2">
      <x v="8"/>
    </i>
    <i r="1">
      <x v="9"/>
    </i>
    <i r="2">
      <x v="1"/>
    </i>
    <i r="2">
      <x v="2"/>
    </i>
    <i r="2">
      <x v="3"/>
    </i>
    <i r="2">
      <x v="5"/>
    </i>
    <i r="2">
      <x v="8"/>
    </i>
    <i>
      <x v="3"/>
    </i>
    <i r="1">
      <x v="7"/>
    </i>
    <i r="2">
      <x v="8"/>
    </i>
    <i r="1">
      <x v="8"/>
    </i>
    <i r="2">
      <x v="1"/>
    </i>
    <i r="2">
      <x v="2"/>
    </i>
    <i r="2">
      <x v="8"/>
    </i>
    <i r="1">
      <x v="9"/>
    </i>
    <i r="2">
      <x v="1"/>
    </i>
    <i r="2">
      <x v="5"/>
    </i>
    <i r="2">
      <x v="8"/>
    </i>
    <i r="1">
      <x v="10"/>
    </i>
    <i r="2">
      <x v="9"/>
    </i>
    <i>
      <x v="6"/>
    </i>
    <i r="1">
      <x v="7"/>
    </i>
    <i r="2">
      <x v="3"/>
    </i>
    <i r="2">
      <x v="8"/>
    </i>
    <i r="1">
      <x v="8"/>
    </i>
    <i r="2">
      <x v="1"/>
    </i>
    <i r="2">
      <x v="8"/>
    </i>
    <i r="1">
      <x v="9"/>
    </i>
    <i r="2">
      <x v="1"/>
    </i>
    <i r="2">
      <x v="3"/>
    </i>
    <i r="2">
      <x v="8"/>
    </i>
    <i>
      <x v="9"/>
    </i>
    <i r="1">
      <x v="7"/>
    </i>
    <i r="2">
      <x/>
    </i>
    <i r="2">
      <x v="8"/>
    </i>
    <i r="1">
      <x v="8"/>
    </i>
    <i r="2">
      <x/>
    </i>
    <i r="2">
      <x v="1"/>
    </i>
    <i r="2">
      <x v="5"/>
    </i>
    <i r="2">
      <x v="8"/>
    </i>
    <i r="1">
      <x v="9"/>
    </i>
    <i r="2">
      <x v="1"/>
    </i>
    <i r="2">
      <x v="3"/>
    </i>
    <i r="2">
      <x v="8"/>
    </i>
    <i>
      <x v="11"/>
    </i>
    <i r="1">
      <x v="5"/>
    </i>
    <i r="2">
      <x v="4"/>
    </i>
    <i t="grand">
      <x/>
    </i>
  </rowItems>
  <colItems count="1">
    <i/>
  </colItems>
  <dataFields count="1">
    <dataField name="Sum of Uren" fld="5" baseField="0" baseItem="0"/>
  </dataFields>
  <formats count="13"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0" type="button" dataOnly="0" labelOnly="1" outline="0" axis="axisRow" fieldPosition="0"/>
    </format>
    <format dxfId="9">
      <pivotArea dataOnly="0" labelOnly="1" fieldPosition="0">
        <references count="1">
          <reference field="0" count="0"/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6">
      <pivotArea dataOnly="0" labelOnly="1" fieldPosition="0">
        <references count="2">
          <reference field="0" count="1" selected="0">
            <x v="4"/>
          </reference>
          <reference field="6" count="2">
            <x v="0"/>
            <x v="6"/>
          </reference>
        </references>
      </pivotArea>
    </format>
    <format dxfId="5">
      <pivotArea dataOnly="0" labelOnly="1" fieldPosition="0">
        <references count="2">
          <reference field="0" count="1" selected="0">
            <x v="5"/>
          </reference>
          <reference field="6" count="1">
            <x v="0"/>
          </reference>
        </references>
      </pivotArea>
    </format>
    <format dxfId="4">
      <pivotArea dataOnly="0" labelOnly="1" fieldPosition="0">
        <references count="3">
          <reference field="0" count="1" selected="0">
            <x v="2"/>
          </reference>
          <reference field="1" count="3">
            <x v="0"/>
            <x v="1"/>
            <x v="3"/>
          </reference>
          <reference field="6" count="1" selected="0">
            <x v="0"/>
          </reference>
        </references>
      </pivotArea>
    </format>
    <format dxfId="3">
      <pivotArea dataOnly="0" labelOnly="1" fieldPosition="0">
        <references count="3">
          <reference field="0" count="1" selected="0">
            <x v="4"/>
          </reference>
          <reference field="1" count="2">
            <x v="2"/>
            <x v="8"/>
          </reference>
          <reference field="6" count="1" selected="0">
            <x v="0"/>
          </reference>
        </references>
      </pivotArea>
    </format>
    <format dxfId="2">
      <pivotArea dataOnly="0" labelOnly="1" fieldPosition="0">
        <references count="3">
          <reference field="0" count="1" selected="0">
            <x v="4"/>
          </reference>
          <reference field="1" count="1">
            <x v="3"/>
          </reference>
          <reference field="6" count="1" selected="0">
            <x v="6"/>
          </reference>
        </references>
      </pivotArea>
    </format>
    <format dxfId="1">
      <pivotArea dataOnly="0" labelOnly="1" fieldPosition="0">
        <references count="3">
          <reference field="0" count="1" selected="0">
            <x v="5"/>
          </reference>
          <reference field="1" count="2">
            <x v="1"/>
            <x v="3"/>
          </reference>
          <reference field="6" count="1" selected="0">
            <x v="0"/>
          </reference>
        </references>
      </pivotArea>
    </format>
    <format dxfId="0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6B07E-B47B-4B1F-9AE3-B36A9383C1B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E3:F59" firstHeaderRow="1" firstDataRow="1" firstDataCol="1"/>
  <pivotFields count="8">
    <pivotField axis="axisRow" showAll="0">
      <items count="13">
        <item h="1" m="1" x="6"/>
        <item h="1" m="1" x="8"/>
        <item h="1" m="1" x="7"/>
        <item h="1" x="5"/>
        <item h="1" m="1" x="10"/>
        <item h="1" m="1" x="11"/>
        <item h="1" m="1" x="9"/>
        <item x="0"/>
        <item x="1"/>
        <item x="2"/>
        <item x="3"/>
        <item h="1" x="4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12">
        <item m="1" x="5"/>
        <item m="1" x="6"/>
        <item m="1" x="7"/>
        <item m="1" x="8"/>
        <item m="1" x="9"/>
        <item m="1" x="10"/>
        <item x="4"/>
        <item x="0"/>
        <item x="1"/>
        <item x="2"/>
        <item x="3"/>
        <item t="default"/>
      </items>
    </pivotField>
    <pivotField axis="axisRow" showAll="0">
      <items count="9">
        <item x="7"/>
        <item x="0"/>
        <item x="1"/>
        <item x="2"/>
        <item x="3"/>
        <item x="4"/>
        <item x="5"/>
        <item x="6"/>
        <item t="default"/>
      </items>
    </pivotField>
  </pivotFields>
  <rowFields count="3">
    <field x="0"/>
    <field x="6"/>
    <field x="7"/>
  </rowFields>
  <rowItems count="56">
    <i>
      <x v="7"/>
    </i>
    <i r="1">
      <x v="7"/>
    </i>
    <i r="2">
      <x v="1"/>
    </i>
    <i r="2">
      <x v="2"/>
    </i>
    <i r="2">
      <x v="3"/>
    </i>
    <i r="2">
      <x v="4"/>
    </i>
    <i r="2">
      <x v="6"/>
    </i>
    <i r="1">
      <x v="8"/>
    </i>
    <i r="2">
      <x v="1"/>
    </i>
    <i r="2">
      <x v="2"/>
    </i>
    <i r="2">
      <x v="3"/>
    </i>
    <i r="2">
      <x v="4"/>
    </i>
    <i r="2">
      <x v="6"/>
    </i>
    <i r="1">
      <x v="9"/>
    </i>
    <i r="2">
      <x v="1"/>
    </i>
    <i r="2">
      <x v="3"/>
    </i>
    <i r="2">
      <x v="4"/>
    </i>
    <i>
      <x v="8"/>
    </i>
    <i r="1">
      <x v="7"/>
    </i>
    <i r="2">
      <x v="1"/>
    </i>
    <i r="2">
      <x v="2"/>
    </i>
    <i r="2">
      <x v="3"/>
    </i>
    <i r="2">
      <x v="5"/>
    </i>
    <i r="2">
      <x v="6"/>
    </i>
    <i r="1">
      <x v="8"/>
    </i>
    <i r="2">
      <x v="1"/>
    </i>
    <i r="2">
      <x v="3"/>
    </i>
    <i r="1">
      <x v="9"/>
    </i>
    <i r="2">
      <x v="1"/>
    </i>
    <i r="2">
      <x v="3"/>
    </i>
    <i r="2">
      <x v="6"/>
    </i>
    <i>
      <x v="9"/>
    </i>
    <i r="1">
      <x v="7"/>
    </i>
    <i r="2">
      <x v="2"/>
    </i>
    <i r="1">
      <x v="8"/>
    </i>
    <i r="2">
      <x v="1"/>
    </i>
    <i r="2">
      <x v="3"/>
    </i>
    <i r="2">
      <x v="4"/>
    </i>
    <i r="1">
      <x v="9"/>
    </i>
    <i r="2">
      <x v="1"/>
    </i>
    <i r="2">
      <x v="3"/>
    </i>
    <i r="2">
      <x v="6"/>
    </i>
    <i r="1">
      <x v="10"/>
    </i>
    <i r="2">
      <x v="7"/>
    </i>
    <i>
      <x v="10"/>
    </i>
    <i r="1">
      <x v="7"/>
    </i>
    <i r="2">
      <x v="1"/>
    </i>
    <i r="2">
      <x v="3"/>
    </i>
    <i r="2">
      <x v="6"/>
    </i>
    <i r="1">
      <x v="8"/>
    </i>
    <i r="2">
      <x v="1"/>
    </i>
    <i r="2">
      <x v="3"/>
    </i>
    <i r="1">
      <x v="9"/>
    </i>
    <i r="2">
      <x v="1"/>
    </i>
    <i r="2">
      <x v="3"/>
    </i>
    <i t="grand">
      <x/>
    </i>
  </rowItems>
  <colItems count="1">
    <i/>
  </colItems>
  <dataFields count="1">
    <dataField name="Sum of Uren" fld="5" baseField="0" baseItem="0"/>
  </dataFields>
  <formats count="9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0" count="1" selected="0">
            <x v="0"/>
          </reference>
          <reference field="6" count="1">
            <x v="0"/>
          </reference>
        </references>
      </pivotArea>
    </format>
    <format dxfId="15">
      <pivotArea dataOnly="0" labelOnly="1" fieldPosition="0">
        <references count="2">
          <reference field="0" count="1" selected="0">
            <x v="1"/>
          </reference>
          <reference field="6" count="2">
            <x v="0"/>
            <x v="1"/>
          </reference>
        </references>
      </pivotArea>
    </format>
    <format dxfId="14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13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AA221-70D5-432F-95A4-0A8FEE9B4953}" name="Timeform" displayName="Timeform" ref="B3:I161" totalsRowShown="0" headerRowDxfId="39" dataDxfId="38">
  <autoFilter ref="B3:I161" xr:uid="{79AAA221-70D5-432F-95A4-0A8FEE9B4953}"/>
  <sortState xmlns:xlrd2="http://schemas.microsoft.com/office/spreadsheetml/2017/richdata2" ref="B4:I111">
    <sortCondition ref="F3:F111"/>
  </sortState>
  <tableColumns count="8">
    <tableColumn id="1" xr3:uid="{CDB853C4-8B99-45B3-AB11-6A49753D7D4D}" name="Naam" dataDxfId="37"/>
    <tableColumn id="2" xr3:uid="{EF52A3E8-5142-4BF3-82D6-0C49558CFCD4}" name="Proces" dataDxfId="36"/>
    <tableColumn id="3" xr3:uid="{63D7F1F9-49FD-43EF-94F6-834B0CD90DBB}" name="Vaaridigheid" dataDxfId="35"/>
    <tableColumn id="5" xr3:uid="{3BA8D563-80A8-4EB1-BA4E-66A3757E6E85}" name="Omschrijving werkzaamheden" dataDxfId="34"/>
    <tableColumn id="6" xr3:uid="{8FD0FAC1-D86A-4307-B9E6-23C37AA7A39B}" name="Datum" dataDxfId="33"/>
    <tableColumn id="7" xr3:uid="{FF9A6FE2-9D20-48DC-A9A7-6B57B166662A}" name="Uren" dataDxfId="32"/>
    <tableColumn id="8" xr3:uid="{92AE8BB0-5292-436F-83A4-3979F860B8D5}" name="Sprint nr" dataDxfId="31"/>
    <tableColumn id="9" xr3:uid="{CEB58FA4-C1C7-4A6E-B0F7-8175456DF6D5}" name="Activiteit" dataDxfId="30">
      <calculatedColumnFormula>_xlfn.XLOOKUP(Timeform[[#This Row],[Vaaridigheid]],Lijsten!C:C,Lijsten!A:A)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63294-7F50-4B98-AE1D-CA3FAE874F12}" name="Processen" displayName="Processen" ref="A15:C90" totalsRowShown="0" headerRowDxfId="29" dataDxfId="28">
  <autoFilter ref="A15:C90" xr:uid="{EEF63294-7F50-4B98-AE1D-CA3FAE874F12}"/>
  <tableColumns count="3">
    <tableColumn id="1" xr3:uid="{683524EE-0252-4046-9AB1-180DCBA069F6}" name="Activiteit" dataDxfId="27"/>
    <tableColumn id="2" xr3:uid="{30B73AA4-5A3C-4879-8CD6-67F92E14BDBB}" name="Proces" dataDxfId="26"/>
    <tableColumn id="3" xr3:uid="{9BC1FBA8-C134-4F59-B9C1-59C10AFA5446}" name="Vaardigheid" dataDxfId="25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C210E0-338E-4322-B6CB-0AFD215867A7}" name="Namenlijst" displayName="Namenlijst" ref="A2:A8" totalsRowShown="0" headerRowDxfId="24" dataDxfId="23">
  <autoFilter ref="A2:A8" xr:uid="{C4C210E0-338E-4322-B6CB-0AFD215867A7}"/>
  <tableColumns count="1">
    <tableColumn id="1" xr3:uid="{2EC5413A-080D-42BE-89F8-EDBA37965822}" name="Namenlijst" dataDxfId="2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E0D6-BAD0-4969-9429-41E01DBF32C3}">
  <dimension ref="B2:N29"/>
  <sheetViews>
    <sheetView workbookViewId="0">
      <selection activeCell="N7" sqref="N7"/>
    </sheetView>
  </sheetViews>
  <sheetFormatPr defaultColWidth="8.88671875" defaultRowHeight="14.4" x14ac:dyDescent="0.3"/>
  <cols>
    <col min="1" max="13" width="8.88671875" style="2"/>
    <col min="14" max="14" width="19.5546875" style="2" customWidth="1"/>
    <col min="15" max="16384" width="8.88671875" style="2"/>
  </cols>
  <sheetData>
    <row r="2" spans="2:14" x14ac:dyDescent="0.3">
      <c r="N2" s="30" t="s">
        <v>0</v>
      </c>
    </row>
    <row r="3" spans="2:14" ht="20.399999999999999" thickBot="1" x14ac:dyDescent="0.45">
      <c r="B3" s="59" t="s">
        <v>1</v>
      </c>
      <c r="C3" s="59"/>
      <c r="D3" s="59"/>
      <c r="E3" s="59"/>
      <c r="F3" s="59"/>
      <c r="G3" s="59"/>
      <c r="H3" s="59"/>
      <c r="I3" s="59"/>
      <c r="J3" s="59"/>
      <c r="N3" s="31" t="s">
        <v>2</v>
      </c>
    </row>
    <row r="4" spans="2:14" ht="15" thickTop="1" x14ac:dyDescent="0.3">
      <c r="N4" s="32" t="s">
        <v>3</v>
      </c>
    </row>
    <row r="5" spans="2:14" ht="18" thickBot="1" x14ac:dyDescent="0.4">
      <c r="B5" s="1" t="s">
        <v>4</v>
      </c>
      <c r="C5" s="1"/>
      <c r="D5" s="1"/>
      <c r="E5" s="3"/>
      <c r="F5" s="3"/>
      <c r="G5" s="3"/>
      <c r="H5" s="3"/>
      <c r="I5" s="3"/>
      <c r="J5" s="3"/>
      <c r="N5" s="31" t="s">
        <v>5</v>
      </c>
    </row>
    <row r="6" spans="2:14" ht="15" thickTop="1" x14ac:dyDescent="0.3">
      <c r="B6" s="2" t="s">
        <v>6</v>
      </c>
      <c r="N6" s="32" t="s">
        <v>7</v>
      </c>
    </row>
    <row r="7" spans="2:14" x14ac:dyDescent="0.3">
      <c r="B7" s="2" t="s">
        <v>8</v>
      </c>
    </row>
    <row r="8" spans="2:14" x14ac:dyDescent="0.3">
      <c r="B8" s="4" t="s">
        <v>9</v>
      </c>
    </row>
    <row r="9" spans="2:14" x14ac:dyDescent="0.3">
      <c r="B9" s="2" t="s">
        <v>10</v>
      </c>
    </row>
    <row r="11" spans="2:14" x14ac:dyDescent="0.3">
      <c r="B11" s="2" t="s">
        <v>11</v>
      </c>
    </row>
    <row r="12" spans="2:14" x14ac:dyDescent="0.3">
      <c r="B12" s="2" t="s">
        <v>12</v>
      </c>
    </row>
    <row r="13" spans="2:14" x14ac:dyDescent="0.3">
      <c r="B13" s="2" t="s">
        <v>13</v>
      </c>
    </row>
    <row r="15" spans="2:14" ht="18" thickBot="1" x14ac:dyDescent="0.4">
      <c r="B15" s="20" t="s">
        <v>14</v>
      </c>
      <c r="C15" s="19"/>
      <c r="D15" s="19"/>
      <c r="E15" s="19"/>
      <c r="F15" s="19"/>
      <c r="G15" s="19"/>
      <c r="H15" s="19"/>
      <c r="I15" s="19"/>
      <c r="J15" s="19"/>
    </row>
    <row r="16" spans="2:14" ht="15" thickTop="1" x14ac:dyDescent="0.3">
      <c r="B16" s="2" t="s">
        <v>15</v>
      </c>
    </row>
    <row r="17" spans="2:2" x14ac:dyDescent="0.3">
      <c r="B17" s="2" t="s">
        <v>16</v>
      </c>
    </row>
    <row r="18" spans="2:2" x14ac:dyDescent="0.3">
      <c r="B18" s="2" t="s">
        <v>17</v>
      </c>
    </row>
    <row r="19" spans="2:2" x14ac:dyDescent="0.3">
      <c r="B19" s="2" t="s">
        <v>18</v>
      </c>
    </row>
    <row r="20" spans="2:2" x14ac:dyDescent="0.3">
      <c r="B20" s="2" t="s">
        <v>19</v>
      </c>
    </row>
    <row r="21" spans="2:2" x14ac:dyDescent="0.3">
      <c r="B21" s="2" t="s">
        <v>20</v>
      </c>
    </row>
    <row r="22" spans="2:2" x14ac:dyDescent="0.3">
      <c r="B22" s="2" t="s">
        <v>21</v>
      </c>
    </row>
    <row r="23" spans="2:2" x14ac:dyDescent="0.3">
      <c r="B23" s="2" t="s">
        <v>22</v>
      </c>
    </row>
    <row r="25" spans="2:2" x14ac:dyDescent="0.3">
      <c r="B25" s="21" t="s">
        <v>23</v>
      </c>
    </row>
    <row r="26" spans="2:2" x14ac:dyDescent="0.3">
      <c r="B26" s="2" t="s">
        <v>24</v>
      </c>
    </row>
    <row r="27" spans="2:2" x14ac:dyDescent="0.3">
      <c r="B27" s="2" t="s">
        <v>25</v>
      </c>
    </row>
    <row r="28" spans="2:2" x14ac:dyDescent="0.3">
      <c r="B28" s="2" t="s">
        <v>26</v>
      </c>
    </row>
    <row r="29" spans="2:2" x14ac:dyDescent="0.3">
      <c r="B29" s="2" t="s">
        <v>27</v>
      </c>
    </row>
  </sheetData>
  <mergeCells count="1">
    <mergeCell ref="B3:J3"/>
  </mergeCells>
  <hyperlinks>
    <hyperlink ref="B8" location="Lijsten!A2" display="Deze namenlijst vind je hier: " xr:uid="{5BDDD42D-7AA5-4E1B-813E-ED795D021B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61"/>
  <sheetViews>
    <sheetView tabSelected="1" topLeftCell="A86" zoomScale="88" workbookViewId="0">
      <selection activeCell="D117" sqref="D117"/>
    </sheetView>
  </sheetViews>
  <sheetFormatPr defaultColWidth="8.88671875" defaultRowHeight="14.4" x14ac:dyDescent="0.3"/>
  <cols>
    <col min="1" max="1" width="8.88671875" style="2"/>
    <col min="2" max="2" width="12.109375" style="2" customWidth="1"/>
    <col min="3" max="3" width="29.109375" style="2" customWidth="1"/>
    <col min="4" max="4" width="52.109375" style="2" customWidth="1"/>
    <col min="5" max="5" width="42.88671875" style="2" customWidth="1"/>
    <col min="6" max="6" width="12.44140625" style="2" customWidth="1"/>
    <col min="7" max="7" width="8.88671875" style="2"/>
    <col min="8" max="8" width="10.5546875" style="2" customWidth="1"/>
    <col min="9" max="9" width="16.5546875" style="2" bestFit="1" customWidth="1"/>
    <col min="10" max="16384" width="8.88671875" style="2"/>
  </cols>
  <sheetData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5" t="s">
        <v>35</v>
      </c>
    </row>
    <row r="4" spans="2:9" ht="28.8" x14ac:dyDescent="0.3">
      <c r="B4" s="33" t="s">
        <v>3</v>
      </c>
      <c r="C4" s="34" t="s">
        <v>36</v>
      </c>
      <c r="D4" s="35" t="s">
        <v>37</v>
      </c>
      <c r="E4" s="35" t="s">
        <v>38</v>
      </c>
      <c r="F4" s="36">
        <v>45941</v>
      </c>
      <c r="G4" s="34">
        <v>0.5</v>
      </c>
      <c r="H4" s="34" t="s">
        <v>39</v>
      </c>
      <c r="I4" s="37" t="s">
        <v>40</v>
      </c>
    </row>
    <row r="5" spans="2:9" ht="28.8" x14ac:dyDescent="0.3">
      <c r="B5" s="38" t="s">
        <v>3</v>
      </c>
      <c r="C5" s="39" t="s">
        <v>36</v>
      </c>
      <c r="D5" s="40" t="s">
        <v>41</v>
      </c>
      <c r="E5" s="40" t="s">
        <v>42</v>
      </c>
      <c r="F5" s="41">
        <v>45941</v>
      </c>
      <c r="G5" s="39">
        <v>1</v>
      </c>
      <c r="H5" s="39" t="s">
        <v>39</v>
      </c>
      <c r="I5" s="37" t="s">
        <v>40</v>
      </c>
    </row>
    <row r="6" spans="2:9" x14ac:dyDescent="0.3">
      <c r="B6" s="33" t="s">
        <v>3</v>
      </c>
      <c r="C6" s="34" t="s">
        <v>36</v>
      </c>
      <c r="D6" s="35" t="s">
        <v>43</v>
      </c>
      <c r="E6" s="35" t="s">
        <v>44</v>
      </c>
      <c r="F6" s="36">
        <v>45941</v>
      </c>
      <c r="G6" s="34">
        <v>0.5</v>
      </c>
      <c r="H6" s="34" t="s">
        <v>39</v>
      </c>
      <c r="I6" s="37" t="s">
        <v>40</v>
      </c>
    </row>
    <row r="7" spans="2:9" x14ac:dyDescent="0.3">
      <c r="B7" s="38" t="s">
        <v>3</v>
      </c>
      <c r="C7" s="39" t="s">
        <v>36</v>
      </c>
      <c r="D7" s="40" t="s">
        <v>45</v>
      </c>
      <c r="E7" s="40" t="s">
        <v>44</v>
      </c>
      <c r="F7" s="41">
        <v>45941</v>
      </c>
      <c r="G7" s="39">
        <v>0.5</v>
      </c>
      <c r="H7" s="39" t="s">
        <v>39</v>
      </c>
      <c r="I7" s="37" t="s">
        <v>40</v>
      </c>
    </row>
    <row r="8" spans="2:9" x14ac:dyDescent="0.3">
      <c r="B8" s="33" t="s">
        <v>3</v>
      </c>
      <c r="C8" s="34" t="s">
        <v>36</v>
      </c>
      <c r="D8" s="35" t="s">
        <v>46</v>
      </c>
      <c r="E8" s="35" t="s">
        <v>44</v>
      </c>
      <c r="F8" s="36">
        <v>45941</v>
      </c>
      <c r="G8" s="34">
        <v>1</v>
      </c>
      <c r="H8" s="34" t="s">
        <v>39</v>
      </c>
      <c r="I8" s="37" t="s">
        <v>40</v>
      </c>
    </row>
    <row r="9" spans="2:9" x14ac:dyDescent="0.3">
      <c r="B9" s="38" t="s">
        <v>3</v>
      </c>
      <c r="C9" s="39" t="s">
        <v>36</v>
      </c>
      <c r="D9" s="40" t="s">
        <v>47</v>
      </c>
      <c r="E9" s="40" t="s">
        <v>44</v>
      </c>
      <c r="F9" s="41">
        <v>45941</v>
      </c>
      <c r="G9" s="39">
        <v>0.5</v>
      </c>
      <c r="H9" s="39" t="s">
        <v>39</v>
      </c>
      <c r="I9" s="37" t="s">
        <v>40</v>
      </c>
    </row>
    <row r="10" spans="2:9" x14ac:dyDescent="0.3">
      <c r="B10" s="33" t="s">
        <v>3</v>
      </c>
      <c r="C10" s="34" t="s">
        <v>36</v>
      </c>
      <c r="D10" s="35" t="s">
        <v>48</v>
      </c>
      <c r="E10" s="35" t="s">
        <v>49</v>
      </c>
      <c r="F10" s="36">
        <v>45941</v>
      </c>
      <c r="G10" s="34">
        <v>1.5</v>
      </c>
      <c r="H10" s="34" t="s">
        <v>39</v>
      </c>
      <c r="I10" s="37" t="s">
        <v>40</v>
      </c>
    </row>
    <row r="11" spans="2:9" x14ac:dyDescent="0.3">
      <c r="B11" s="38" t="s">
        <v>2</v>
      </c>
      <c r="C11" s="39" t="s">
        <v>50</v>
      </c>
      <c r="D11" s="40" t="s">
        <v>51</v>
      </c>
      <c r="E11" s="40" t="s">
        <v>52</v>
      </c>
      <c r="F11" s="41">
        <v>45972</v>
      </c>
      <c r="G11" s="39">
        <v>3</v>
      </c>
      <c r="H11" s="39" t="s">
        <v>39</v>
      </c>
      <c r="I11" s="37" t="s">
        <v>53</v>
      </c>
    </row>
    <row r="12" spans="2:9" x14ac:dyDescent="0.3">
      <c r="B12" s="33" t="s">
        <v>3</v>
      </c>
      <c r="C12" s="34" t="s">
        <v>50</v>
      </c>
      <c r="D12" s="35" t="s">
        <v>51</v>
      </c>
      <c r="E12" s="35" t="s">
        <v>52</v>
      </c>
      <c r="F12" s="36">
        <v>45972</v>
      </c>
      <c r="G12" s="34">
        <v>3</v>
      </c>
      <c r="H12" s="34" t="s">
        <v>39</v>
      </c>
      <c r="I12" s="37" t="s">
        <v>53</v>
      </c>
    </row>
    <row r="13" spans="2:9" x14ac:dyDescent="0.3">
      <c r="B13" s="38" t="s">
        <v>5</v>
      </c>
      <c r="C13" s="39" t="s">
        <v>50</v>
      </c>
      <c r="D13" s="40" t="s">
        <v>51</v>
      </c>
      <c r="E13" s="40" t="s">
        <v>52</v>
      </c>
      <c r="F13" s="41">
        <v>45972</v>
      </c>
      <c r="G13" s="39">
        <v>3</v>
      </c>
      <c r="H13" s="39" t="s">
        <v>39</v>
      </c>
      <c r="I13" s="37" t="s">
        <v>53</v>
      </c>
    </row>
    <row r="14" spans="2:9" x14ac:dyDescent="0.3">
      <c r="B14" s="33" t="s">
        <v>2</v>
      </c>
      <c r="C14" s="34" t="s">
        <v>54</v>
      </c>
      <c r="D14" s="35" t="s">
        <v>55</v>
      </c>
      <c r="E14" s="35" t="s">
        <v>56</v>
      </c>
      <c r="F14" s="36">
        <v>45972</v>
      </c>
      <c r="G14" s="34">
        <v>1</v>
      </c>
      <c r="H14" s="34" t="s">
        <v>39</v>
      </c>
      <c r="I14" s="37" t="s">
        <v>53</v>
      </c>
    </row>
    <row r="15" spans="2:9" ht="28.8" x14ac:dyDescent="0.3">
      <c r="B15" s="38" t="s">
        <v>2</v>
      </c>
      <c r="C15" s="39" t="s">
        <v>50</v>
      </c>
      <c r="D15" s="40" t="s">
        <v>57</v>
      </c>
      <c r="E15" s="40" t="s">
        <v>58</v>
      </c>
      <c r="F15" s="41">
        <v>45972</v>
      </c>
      <c r="G15" s="39">
        <v>1</v>
      </c>
      <c r="H15" s="39" t="s">
        <v>39</v>
      </c>
      <c r="I15" s="37" t="s">
        <v>40</v>
      </c>
    </row>
    <row r="16" spans="2:9" ht="43.2" x14ac:dyDescent="0.3">
      <c r="B16" s="33" t="s">
        <v>2</v>
      </c>
      <c r="C16" s="34" t="s">
        <v>50</v>
      </c>
      <c r="D16" s="35" t="s">
        <v>59</v>
      </c>
      <c r="E16" s="35" t="s">
        <v>60</v>
      </c>
      <c r="F16" s="36">
        <v>45972</v>
      </c>
      <c r="G16" s="34">
        <v>0.75</v>
      </c>
      <c r="H16" s="34" t="s">
        <v>39</v>
      </c>
      <c r="I16" s="37" t="s">
        <v>61</v>
      </c>
    </row>
    <row r="17" spans="2:9" x14ac:dyDescent="0.3">
      <c r="B17" s="2" t="s">
        <v>3</v>
      </c>
      <c r="C17" s="2" t="s">
        <v>36</v>
      </c>
      <c r="D17" s="6" t="s">
        <v>62</v>
      </c>
      <c r="E17" s="6" t="s">
        <v>63</v>
      </c>
      <c r="F17" s="7">
        <v>45972</v>
      </c>
      <c r="G17" s="51">
        <v>2</v>
      </c>
      <c r="H17" s="2" t="s">
        <v>39</v>
      </c>
      <c r="I17" s="9" t="str">
        <f>_xlfn.XLOOKUP(Timeform[[#This Row],[Vaaridigheid]],Lijsten!C:C,Lijsten!A:A)</f>
        <v>Manage &amp; Control</v>
      </c>
    </row>
    <row r="18" spans="2:9" x14ac:dyDescent="0.3">
      <c r="B18" s="2" t="s">
        <v>3</v>
      </c>
      <c r="C18" s="2" t="s">
        <v>64</v>
      </c>
      <c r="D18" s="6" t="s">
        <v>65</v>
      </c>
      <c r="E18" s="6" t="s">
        <v>66</v>
      </c>
      <c r="F18" s="7">
        <v>45972</v>
      </c>
      <c r="G18" s="8">
        <v>2</v>
      </c>
      <c r="H18" s="2" t="s">
        <v>39</v>
      </c>
      <c r="I18" s="9" t="str">
        <f>_xlfn.XLOOKUP(Timeform[[#This Row],[Vaaridigheid]],Lijsten!C:C,Lijsten!A:A)</f>
        <v>Ontwerpen</v>
      </c>
    </row>
    <row r="19" spans="2:9" x14ac:dyDescent="0.3">
      <c r="B19" s="2" t="s">
        <v>2</v>
      </c>
      <c r="C19" s="2" t="s">
        <v>54</v>
      </c>
      <c r="D19" s="6" t="s">
        <v>67</v>
      </c>
      <c r="E19" s="6" t="s">
        <v>68</v>
      </c>
      <c r="F19" s="45">
        <v>45972</v>
      </c>
      <c r="G19" s="8">
        <v>0.5</v>
      </c>
      <c r="H19" s="2" t="s">
        <v>39</v>
      </c>
      <c r="I19" s="9" t="str">
        <f>_xlfn.XLOOKUP(Timeform[[#This Row],[Vaaridigheid]],Lijsten!C:C,Lijsten!A:A)</f>
        <v>Manage &amp; Control</v>
      </c>
    </row>
    <row r="20" spans="2:9" x14ac:dyDescent="0.3">
      <c r="B20" s="2" t="s">
        <v>2</v>
      </c>
      <c r="C20" s="2" t="s">
        <v>54</v>
      </c>
      <c r="D20" s="6" t="s">
        <v>69</v>
      </c>
      <c r="E20" s="6" t="s">
        <v>70</v>
      </c>
      <c r="F20" s="45">
        <v>45972</v>
      </c>
      <c r="G20" s="8">
        <v>0.25</v>
      </c>
      <c r="H20" s="2" t="s">
        <v>39</v>
      </c>
      <c r="I20" s="9" t="str">
        <f>_xlfn.XLOOKUP(Timeform[[#This Row],[Vaaridigheid]],Lijsten!C:C,Lijsten!A:A)</f>
        <v>Realiseren</v>
      </c>
    </row>
    <row r="21" spans="2:9" x14ac:dyDescent="0.3">
      <c r="B21" s="2" t="s">
        <v>7</v>
      </c>
      <c r="C21" s="2" t="s">
        <v>50</v>
      </c>
      <c r="D21" s="6" t="s">
        <v>59</v>
      </c>
      <c r="E21" s="6" t="s">
        <v>71</v>
      </c>
      <c r="F21" s="7">
        <v>45972</v>
      </c>
      <c r="G21" s="8">
        <v>0.5</v>
      </c>
      <c r="H21" s="2" t="s">
        <v>39</v>
      </c>
      <c r="I21" s="9" t="str">
        <f>_xlfn.XLOOKUP(Timeform[[#This Row],[Vaaridigheid]],Lijsten!C:C,Lijsten!A:A)</f>
        <v>Realiseren</v>
      </c>
    </row>
    <row r="22" spans="2:9" x14ac:dyDescent="0.3">
      <c r="B22" s="2" t="s">
        <v>7</v>
      </c>
      <c r="C22" s="2" t="s">
        <v>36</v>
      </c>
      <c r="D22" s="6" t="s">
        <v>37</v>
      </c>
      <c r="E22" s="6" t="s">
        <v>72</v>
      </c>
      <c r="F22" s="7">
        <v>45972</v>
      </c>
      <c r="G22" s="8">
        <v>1</v>
      </c>
      <c r="H22" s="2" t="s">
        <v>39</v>
      </c>
      <c r="I22" s="9" t="str">
        <f>_xlfn.XLOOKUP(Timeform[[#This Row],[Vaaridigheid]],Lijsten!C:C,Lijsten!A:A)</f>
        <v>Analyseren</v>
      </c>
    </row>
    <row r="23" spans="2:9" x14ac:dyDescent="0.3">
      <c r="B23" s="2" t="s">
        <v>3</v>
      </c>
      <c r="C23" s="43" t="s">
        <v>73</v>
      </c>
      <c r="D23" s="6" t="s">
        <v>74</v>
      </c>
      <c r="E23" s="6" t="s">
        <v>75</v>
      </c>
      <c r="F23" s="7">
        <v>45973</v>
      </c>
      <c r="G23" s="8">
        <v>1</v>
      </c>
      <c r="H23" s="2" t="s">
        <v>39</v>
      </c>
      <c r="I23" s="9" t="str">
        <f>_xlfn.XLOOKUP(Timeform[[#This Row],[Vaaridigheid]],Lijsten!C:C,Lijsten!A:A)</f>
        <v>Ontwerpen</v>
      </c>
    </row>
    <row r="24" spans="2:9" x14ac:dyDescent="0.3">
      <c r="B24" s="2" t="s">
        <v>3</v>
      </c>
      <c r="C24" s="43" t="s">
        <v>73</v>
      </c>
      <c r="D24" s="6" t="s">
        <v>76</v>
      </c>
      <c r="E24" s="6" t="s">
        <v>75</v>
      </c>
      <c r="F24" s="7">
        <v>45973</v>
      </c>
      <c r="G24" s="8">
        <v>1</v>
      </c>
      <c r="H24" s="2" t="s">
        <v>39</v>
      </c>
      <c r="I24" s="9" t="str">
        <f>_xlfn.XLOOKUP(Timeform[[#This Row],[Vaaridigheid]],Lijsten!C:C,Lijsten!A:A)</f>
        <v>Ontwerpen</v>
      </c>
    </row>
    <row r="25" spans="2:9" x14ac:dyDescent="0.3">
      <c r="B25" s="2" t="s">
        <v>3</v>
      </c>
      <c r="C25" s="43" t="s">
        <v>73</v>
      </c>
      <c r="D25" s="6" t="s">
        <v>77</v>
      </c>
      <c r="E25" s="6" t="s">
        <v>75</v>
      </c>
      <c r="F25" s="7">
        <v>45973</v>
      </c>
      <c r="G25" s="8">
        <v>0.5</v>
      </c>
      <c r="H25" s="2" t="s">
        <v>39</v>
      </c>
      <c r="I25" s="9" t="str">
        <f>_xlfn.XLOOKUP(Timeform[[#This Row],[Vaaridigheid]],Lijsten!C:C,Lijsten!A:A)</f>
        <v>Realiseren</v>
      </c>
    </row>
    <row r="26" spans="2:9" ht="28.8" x14ac:dyDescent="0.3">
      <c r="B26" s="2" t="s">
        <v>3</v>
      </c>
      <c r="C26" s="2" t="s">
        <v>73</v>
      </c>
      <c r="D26" s="6" t="s">
        <v>77</v>
      </c>
      <c r="E26" s="6" t="s">
        <v>78</v>
      </c>
      <c r="F26" s="44">
        <v>45973</v>
      </c>
      <c r="G26" s="8">
        <v>1</v>
      </c>
      <c r="H26" s="2" t="s">
        <v>39</v>
      </c>
      <c r="I26" s="9" t="str">
        <f>_xlfn.XLOOKUP(Timeform[[#This Row],[Vaaridigheid]],Lijsten!C:C,Lijsten!A:A)</f>
        <v>Realiseren</v>
      </c>
    </row>
    <row r="27" spans="2:9" x14ac:dyDescent="0.3">
      <c r="B27" s="2" t="s">
        <v>2</v>
      </c>
      <c r="C27" s="42" t="s">
        <v>50</v>
      </c>
      <c r="D27" s="6" t="s">
        <v>59</v>
      </c>
      <c r="E27" s="6" t="s">
        <v>79</v>
      </c>
      <c r="F27" s="44">
        <v>45974</v>
      </c>
      <c r="G27" s="8">
        <v>2</v>
      </c>
      <c r="H27" s="2" t="s">
        <v>39</v>
      </c>
      <c r="I27" s="9"/>
    </row>
    <row r="28" spans="2:9" x14ac:dyDescent="0.3">
      <c r="B28" s="2" t="s">
        <v>2</v>
      </c>
      <c r="C28" s="42" t="s">
        <v>50</v>
      </c>
      <c r="D28" s="6" t="s">
        <v>80</v>
      </c>
      <c r="E28" s="6" t="s">
        <v>81</v>
      </c>
      <c r="F28" s="7">
        <v>45974</v>
      </c>
      <c r="G28" s="8">
        <v>0.5</v>
      </c>
      <c r="H28" s="2" t="s">
        <v>39</v>
      </c>
      <c r="I28" s="9" t="str">
        <f>_xlfn.XLOOKUP(Timeform[[#This Row],[Vaaridigheid]],Lijsten!C:C,Lijsten!A:A)</f>
        <v>Adviseren</v>
      </c>
    </row>
    <row r="29" spans="2:9" x14ac:dyDescent="0.3">
      <c r="B29" s="2" t="s">
        <v>3</v>
      </c>
      <c r="C29" s="42" t="s">
        <v>50</v>
      </c>
      <c r="D29" s="6" t="s">
        <v>82</v>
      </c>
      <c r="E29" s="6" t="s">
        <v>83</v>
      </c>
      <c r="F29" s="7">
        <v>45974</v>
      </c>
      <c r="G29" s="8">
        <v>0.5</v>
      </c>
      <c r="H29" s="2" t="s">
        <v>39</v>
      </c>
      <c r="I29" s="9" t="str">
        <f>_xlfn.XLOOKUP(Timeform[[#This Row],[Vaaridigheid]],Lijsten!C:C,Lijsten!A:A)</f>
        <v>Adviseren</v>
      </c>
    </row>
    <row r="30" spans="2:9" ht="28.8" x14ac:dyDescent="0.3">
      <c r="B30" s="2" t="s">
        <v>3</v>
      </c>
      <c r="C30" s="2" t="s">
        <v>36</v>
      </c>
      <c r="D30" s="6" t="s">
        <v>48</v>
      </c>
      <c r="E30" s="6" t="s">
        <v>84</v>
      </c>
      <c r="F30" s="7">
        <v>45974</v>
      </c>
      <c r="G30" s="8">
        <v>3.5</v>
      </c>
      <c r="H30" s="2" t="s">
        <v>39</v>
      </c>
      <c r="I30" s="9" t="str">
        <f>_xlfn.XLOOKUP(Timeform[[#This Row],[Vaaridigheid]],Lijsten!C:C,Lijsten!A:A)</f>
        <v>Analyseren</v>
      </c>
    </row>
    <row r="31" spans="2:9" x14ac:dyDescent="0.3">
      <c r="B31" s="2" t="s">
        <v>7</v>
      </c>
      <c r="C31" s="2" t="s">
        <v>50</v>
      </c>
      <c r="D31" s="6" t="s">
        <v>85</v>
      </c>
      <c r="E31" s="6" t="s">
        <v>86</v>
      </c>
      <c r="F31" s="7">
        <v>45974</v>
      </c>
      <c r="G31" s="8">
        <v>2.5</v>
      </c>
      <c r="H31" s="2" t="s">
        <v>39</v>
      </c>
      <c r="I31" s="9" t="str">
        <f>_xlfn.XLOOKUP(Timeform[[#This Row],[Vaaridigheid]],Lijsten!C:C,Lijsten!A:A)</f>
        <v>Adviseren</v>
      </c>
    </row>
    <row r="32" spans="2:9" x14ac:dyDescent="0.3">
      <c r="B32" s="2" t="s">
        <v>7</v>
      </c>
      <c r="C32" s="2" t="s">
        <v>50</v>
      </c>
      <c r="D32" s="6" t="s">
        <v>59</v>
      </c>
      <c r="E32" s="6" t="s">
        <v>87</v>
      </c>
      <c r="F32" s="7">
        <v>45975</v>
      </c>
      <c r="G32" s="8">
        <v>1</v>
      </c>
      <c r="H32" s="2" t="s">
        <v>39</v>
      </c>
      <c r="I32" s="9" t="str">
        <f>_xlfn.XLOOKUP(Timeform[[#This Row],[Vaaridigheid]],Lijsten!C:C,Lijsten!A:A)</f>
        <v>Realiseren</v>
      </c>
    </row>
    <row r="33" spans="2:9" x14ac:dyDescent="0.3">
      <c r="B33" s="2" t="s">
        <v>3</v>
      </c>
      <c r="C33" s="2" t="s">
        <v>50</v>
      </c>
      <c r="D33" s="6" t="s">
        <v>88</v>
      </c>
      <c r="E33" s="6" t="s">
        <v>89</v>
      </c>
      <c r="F33" s="7">
        <v>45975</v>
      </c>
      <c r="G33" s="8">
        <v>2.5</v>
      </c>
      <c r="H33" s="2" t="s">
        <v>39</v>
      </c>
      <c r="I33" s="9" t="str">
        <f>_xlfn.XLOOKUP(Timeform[[#This Row],[Vaaridigheid]],Lijsten!C:C,Lijsten!A:A)</f>
        <v>Adviseren</v>
      </c>
    </row>
    <row r="34" spans="2:9" x14ac:dyDescent="0.3">
      <c r="B34" s="2" t="s">
        <v>2</v>
      </c>
      <c r="C34" s="2" t="s">
        <v>50</v>
      </c>
      <c r="D34" s="6" t="s">
        <v>90</v>
      </c>
      <c r="E34" s="6" t="s">
        <v>91</v>
      </c>
      <c r="F34" s="7">
        <v>45975</v>
      </c>
      <c r="G34" s="8">
        <v>0.5</v>
      </c>
      <c r="H34" s="2" t="s">
        <v>39</v>
      </c>
      <c r="I34" s="9" t="str">
        <f>_xlfn.XLOOKUP(Timeform[[#This Row],[Vaaridigheid]],Lijsten!C:C,Lijsten!A:A)</f>
        <v>Analyseren</v>
      </c>
    </row>
    <row r="35" spans="2:9" x14ac:dyDescent="0.3">
      <c r="B35" s="2" t="s">
        <v>2</v>
      </c>
      <c r="C35" s="2" t="s">
        <v>50</v>
      </c>
      <c r="D35" s="6" t="s">
        <v>59</v>
      </c>
      <c r="E35" s="6" t="s">
        <v>92</v>
      </c>
      <c r="F35" s="7">
        <v>45975</v>
      </c>
      <c r="G35" s="8">
        <v>0.75</v>
      </c>
      <c r="H35" s="2" t="s">
        <v>39</v>
      </c>
      <c r="I35" s="9" t="str">
        <f>_xlfn.XLOOKUP(Timeform[[#This Row],[Vaaridigheid]],Lijsten!C:C,Lijsten!A:A)</f>
        <v>Realiseren</v>
      </c>
    </row>
    <row r="36" spans="2:9" x14ac:dyDescent="0.3">
      <c r="B36" s="2" t="s">
        <v>2</v>
      </c>
      <c r="C36" s="2" t="s">
        <v>54</v>
      </c>
      <c r="D36" s="6" t="s">
        <v>93</v>
      </c>
      <c r="E36" s="6" t="s">
        <v>94</v>
      </c>
      <c r="F36" s="7">
        <v>45975</v>
      </c>
      <c r="G36" s="8">
        <v>0.75</v>
      </c>
      <c r="H36" s="2" t="s">
        <v>39</v>
      </c>
      <c r="I36" s="9" t="str">
        <f>_xlfn.XLOOKUP(Timeform[[#This Row],[Vaaridigheid]],Lijsten!C:C,Lijsten!A:A)</f>
        <v>Realiseren</v>
      </c>
    </row>
    <row r="37" spans="2:9" x14ac:dyDescent="0.3">
      <c r="B37" s="2" t="s">
        <v>3</v>
      </c>
      <c r="C37" s="2" t="s">
        <v>50</v>
      </c>
      <c r="D37" s="6" t="s">
        <v>59</v>
      </c>
      <c r="E37" s="6" t="s">
        <v>95</v>
      </c>
      <c r="F37" s="7">
        <v>45975</v>
      </c>
      <c r="G37" s="8">
        <v>0.75</v>
      </c>
      <c r="H37" s="2" t="s">
        <v>39</v>
      </c>
      <c r="I37" s="9" t="str">
        <f>_xlfn.XLOOKUP(Timeform[[#This Row],[Vaaridigheid]],Lijsten!C:C,Lijsten!A:A)</f>
        <v>Realiseren</v>
      </c>
    </row>
    <row r="38" spans="2:9" x14ac:dyDescent="0.3">
      <c r="B38" s="2" t="s">
        <v>3</v>
      </c>
      <c r="C38" s="2" t="s">
        <v>50</v>
      </c>
      <c r="D38" s="6" t="s">
        <v>96</v>
      </c>
      <c r="E38" s="6" t="s">
        <v>97</v>
      </c>
      <c r="F38" s="7">
        <v>45977</v>
      </c>
      <c r="G38" s="8">
        <v>2</v>
      </c>
      <c r="H38" s="2" t="s">
        <v>39</v>
      </c>
      <c r="I38" s="9" t="str">
        <f>_xlfn.XLOOKUP(Timeform[[#This Row],[Vaaridigheid]],Lijsten!C:C,Lijsten!A:A)</f>
        <v>Adviseren</v>
      </c>
    </row>
    <row r="39" spans="2:9" x14ac:dyDescent="0.3">
      <c r="B39" s="2" t="s">
        <v>3</v>
      </c>
      <c r="C39" s="2" t="s">
        <v>50</v>
      </c>
      <c r="D39" s="6" t="s">
        <v>96</v>
      </c>
      <c r="E39" s="6" t="s">
        <v>98</v>
      </c>
      <c r="F39" s="7">
        <v>45978</v>
      </c>
      <c r="G39" s="8">
        <v>0.5</v>
      </c>
      <c r="H39" s="2" t="s">
        <v>39</v>
      </c>
      <c r="I39" s="9" t="str">
        <f>_xlfn.XLOOKUP(Timeform[[#This Row],[Vaaridigheid]],Lijsten!C:C,Lijsten!A:A)</f>
        <v>Adviseren</v>
      </c>
    </row>
    <row r="40" spans="2:9" x14ac:dyDescent="0.3">
      <c r="B40" s="2" t="s">
        <v>2</v>
      </c>
      <c r="C40" s="2" t="s">
        <v>50</v>
      </c>
      <c r="D40" s="6" t="s">
        <v>99</v>
      </c>
      <c r="E40" s="6" t="s">
        <v>100</v>
      </c>
      <c r="F40" s="7">
        <v>45979</v>
      </c>
      <c r="G40" s="8">
        <v>3</v>
      </c>
      <c r="H40" s="2" t="s">
        <v>101</v>
      </c>
      <c r="I40" s="9" t="str">
        <f>_xlfn.XLOOKUP(Timeform[[#This Row],[Vaaridigheid]],Lijsten!C:C,Lijsten!A:A)</f>
        <v>Analyseren</v>
      </c>
    </row>
    <row r="41" spans="2:9" x14ac:dyDescent="0.3">
      <c r="B41" s="2" t="s">
        <v>3</v>
      </c>
      <c r="C41" s="2" t="s">
        <v>50</v>
      </c>
      <c r="D41" s="6" t="s">
        <v>99</v>
      </c>
      <c r="E41" s="6" t="s">
        <v>100</v>
      </c>
      <c r="F41" s="7">
        <v>45979</v>
      </c>
      <c r="G41" s="8">
        <v>3</v>
      </c>
      <c r="H41" s="2" t="s">
        <v>101</v>
      </c>
      <c r="I41" s="9" t="str">
        <f>_xlfn.XLOOKUP(Timeform[[#This Row],[Vaaridigheid]],Lijsten!C:C,Lijsten!A:A)</f>
        <v>Analyseren</v>
      </c>
    </row>
    <row r="42" spans="2:9" x14ac:dyDescent="0.3">
      <c r="B42" s="2" t="s">
        <v>5</v>
      </c>
      <c r="C42" s="2" t="s">
        <v>50</v>
      </c>
      <c r="D42" s="6" t="s">
        <v>99</v>
      </c>
      <c r="E42" s="6" t="s">
        <v>100</v>
      </c>
      <c r="F42" s="7">
        <v>45979</v>
      </c>
      <c r="G42" s="8">
        <v>3</v>
      </c>
      <c r="H42" s="2" t="s">
        <v>101</v>
      </c>
      <c r="I42" s="9" t="str">
        <f>_xlfn.XLOOKUP(Timeform[[#This Row],[Vaaridigheid]],Lijsten!C:C,Lijsten!A:A)</f>
        <v>Analyseren</v>
      </c>
    </row>
    <row r="43" spans="2:9" x14ac:dyDescent="0.3">
      <c r="B43" s="2" t="s">
        <v>2</v>
      </c>
      <c r="C43" s="2" t="s">
        <v>50</v>
      </c>
      <c r="D43" s="6" t="s">
        <v>102</v>
      </c>
      <c r="E43" s="6" t="s">
        <v>103</v>
      </c>
      <c r="F43" s="7">
        <v>45979</v>
      </c>
      <c r="G43" s="8">
        <v>0.5</v>
      </c>
      <c r="H43" s="2" t="s">
        <v>101</v>
      </c>
      <c r="I43" s="9" t="str">
        <f>_xlfn.XLOOKUP(Timeform[[#This Row],[Vaaridigheid]],Lijsten!C:C,Lijsten!A:A)</f>
        <v>Analyseren</v>
      </c>
    </row>
    <row r="44" spans="2:9" x14ac:dyDescent="0.3">
      <c r="B44" s="2" t="s">
        <v>2</v>
      </c>
      <c r="C44" s="2" t="s">
        <v>104</v>
      </c>
      <c r="D44" s="6" t="s">
        <v>105</v>
      </c>
      <c r="E44" s="6" t="s">
        <v>106</v>
      </c>
      <c r="F44" s="7">
        <v>45979</v>
      </c>
      <c r="G44" s="8">
        <v>0.75</v>
      </c>
      <c r="H44" s="2" t="s">
        <v>101</v>
      </c>
      <c r="I44" s="9" t="str">
        <f>_xlfn.XLOOKUP(Timeform[[#This Row],[Vaaridigheid]],Lijsten!C:C,Lijsten!A:A)</f>
        <v>Realiseren</v>
      </c>
    </row>
    <row r="45" spans="2:9" x14ac:dyDescent="0.3">
      <c r="B45" s="2" t="s">
        <v>2</v>
      </c>
      <c r="C45" s="2" t="s">
        <v>54</v>
      </c>
      <c r="D45" s="6" t="s">
        <v>107</v>
      </c>
      <c r="E45" s="6" t="s">
        <v>108</v>
      </c>
      <c r="F45" s="7">
        <v>45979</v>
      </c>
      <c r="G45" s="8">
        <v>0.75</v>
      </c>
      <c r="H45" s="2" t="s">
        <v>101</v>
      </c>
      <c r="I45" s="9" t="str">
        <f>_xlfn.XLOOKUP(Timeform[[#This Row],[Vaaridigheid]],Lijsten!C:C,Lijsten!A:A)</f>
        <v>Realiseren</v>
      </c>
    </row>
    <row r="46" spans="2:9" ht="28.8" x14ac:dyDescent="0.3">
      <c r="B46" s="2" t="s">
        <v>2</v>
      </c>
      <c r="C46" s="2" t="s">
        <v>50</v>
      </c>
      <c r="D46" s="6" t="s">
        <v>59</v>
      </c>
      <c r="E46" s="47" t="s">
        <v>109</v>
      </c>
      <c r="F46" s="7">
        <v>45979</v>
      </c>
      <c r="G46" s="8">
        <v>0.5</v>
      </c>
      <c r="H46" s="2" t="s">
        <v>101</v>
      </c>
      <c r="I46" s="9" t="str">
        <f>_xlfn.XLOOKUP(Timeform[[#This Row],[Vaaridigheid]],Lijsten!C:C,Lijsten!A:A)</f>
        <v>Realiseren</v>
      </c>
    </row>
    <row r="47" spans="2:9" x14ac:dyDescent="0.3">
      <c r="B47" s="2" t="s">
        <v>3</v>
      </c>
      <c r="C47" s="2" t="s">
        <v>50</v>
      </c>
      <c r="D47" s="6" t="s">
        <v>110</v>
      </c>
      <c r="E47" s="46" t="s">
        <v>52</v>
      </c>
      <c r="F47" s="7">
        <v>45979</v>
      </c>
      <c r="G47" s="8">
        <v>1</v>
      </c>
      <c r="H47" s="2" t="s">
        <v>101</v>
      </c>
      <c r="I47" s="9" t="str">
        <f>_xlfn.XLOOKUP(Timeform[[#This Row],[Vaaridigheid]],Lijsten!C:C,Lijsten!A:A)</f>
        <v>Manage &amp; Control</v>
      </c>
    </row>
    <row r="48" spans="2:9" x14ac:dyDescent="0.3">
      <c r="B48" s="2" t="s">
        <v>3</v>
      </c>
      <c r="C48" s="2" t="s">
        <v>64</v>
      </c>
      <c r="D48" s="6" t="s">
        <v>111</v>
      </c>
      <c r="E48" s="6" t="s">
        <v>112</v>
      </c>
      <c r="F48" s="7">
        <v>45980</v>
      </c>
      <c r="G48" s="8">
        <v>5</v>
      </c>
      <c r="H48" s="2" t="s">
        <v>101</v>
      </c>
      <c r="I48" s="9" t="str">
        <f>_xlfn.XLOOKUP(Timeform[[#This Row],[Vaaridigheid]],Lijsten!C:C,Lijsten!A:A)</f>
        <v>Ontwerpen</v>
      </c>
    </row>
    <row r="49" spans="2:9" ht="43.2" x14ac:dyDescent="0.3">
      <c r="B49" s="2" t="s">
        <v>2</v>
      </c>
      <c r="C49" s="2" t="s">
        <v>104</v>
      </c>
      <c r="D49" s="6" t="s">
        <v>105</v>
      </c>
      <c r="E49" s="6" t="s">
        <v>113</v>
      </c>
      <c r="F49" s="7">
        <v>45980</v>
      </c>
      <c r="G49" s="8">
        <v>5</v>
      </c>
      <c r="H49" s="2" t="s">
        <v>101</v>
      </c>
      <c r="I49" s="9" t="str">
        <f>_xlfn.XLOOKUP(Timeform[[#This Row],[Vaaridigheid]],Lijsten!C:C,Lijsten!A:A)</f>
        <v>Realiseren</v>
      </c>
    </row>
    <row r="50" spans="2:9" x14ac:dyDescent="0.3">
      <c r="B50" s="2" t="s">
        <v>2</v>
      </c>
      <c r="C50" s="2" t="s">
        <v>73</v>
      </c>
      <c r="D50" s="6" t="s">
        <v>114</v>
      </c>
      <c r="E50" s="6" t="s">
        <v>115</v>
      </c>
      <c r="F50" s="7">
        <v>45980</v>
      </c>
      <c r="G50" s="8">
        <v>0.5</v>
      </c>
      <c r="H50" s="2" t="s">
        <v>101</v>
      </c>
      <c r="I50" s="9" t="str">
        <f>_xlfn.XLOOKUP(Timeform[[#This Row],[Vaaridigheid]],Lijsten!C:C,Lijsten!A:A)</f>
        <v>Realiseren</v>
      </c>
    </row>
    <row r="51" spans="2:9" x14ac:dyDescent="0.3">
      <c r="B51" s="2" t="s">
        <v>3</v>
      </c>
      <c r="C51" s="2" t="s">
        <v>64</v>
      </c>
      <c r="D51" s="6" t="s">
        <v>111</v>
      </c>
      <c r="E51" s="6" t="s">
        <v>116</v>
      </c>
      <c r="F51" s="7">
        <v>45981</v>
      </c>
      <c r="G51" s="8">
        <v>3</v>
      </c>
      <c r="H51" s="2" t="s">
        <v>101</v>
      </c>
      <c r="I51" s="9" t="str">
        <f>_xlfn.XLOOKUP(Timeform[[#This Row],[Vaaridigheid]],Lijsten!C:C,Lijsten!A:A)</f>
        <v>Ontwerpen</v>
      </c>
    </row>
    <row r="52" spans="2:9" ht="57.6" x14ac:dyDescent="0.3">
      <c r="B52" s="2" t="s">
        <v>3</v>
      </c>
      <c r="C52" s="2" t="s">
        <v>104</v>
      </c>
      <c r="D52" s="6" t="s">
        <v>117</v>
      </c>
      <c r="E52" s="6" t="s">
        <v>118</v>
      </c>
      <c r="F52" s="7">
        <v>45981</v>
      </c>
      <c r="G52" s="8">
        <v>4</v>
      </c>
      <c r="H52" s="2" t="s">
        <v>101</v>
      </c>
      <c r="I52" s="9" t="str">
        <f>_xlfn.XLOOKUP(Timeform[[#This Row],[Vaaridigheid]],Lijsten!C:C,Lijsten!A:A)</f>
        <v>Realiseren</v>
      </c>
    </row>
    <row r="53" spans="2:9" x14ac:dyDescent="0.3">
      <c r="B53" s="2" t="s">
        <v>7</v>
      </c>
      <c r="C53" s="2" t="s">
        <v>104</v>
      </c>
      <c r="D53" s="6" t="s">
        <v>105</v>
      </c>
      <c r="E53" s="6" t="s">
        <v>119</v>
      </c>
      <c r="F53" s="7">
        <v>45981</v>
      </c>
      <c r="G53" s="8">
        <v>3.5</v>
      </c>
      <c r="H53" s="2" t="s">
        <v>101</v>
      </c>
      <c r="I53" s="9" t="str">
        <f>_xlfn.XLOOKUP(Timeform[[#This Row],[Vaaridigheid]],Lijsten!C:C,Lijsten!A:A)</f>
        <v>Realiseren</v>
      </c>
    </row>
    <row r="54" spans="2:9" x14ac:dyDescent="0.3">
      <c r="B54" s="2" t="s">
        <v>2</v>
      </c>
      <c r="C54" s="2" t="s">
        <v>104</v>
      </c>
      <c r="D54" s="6" t="s">
        <v>120</v>
      </c>
      <c r="E54" s="6" t="s">
        <v>121</v>
      </c>
      <c r="F54" s="7">
        <v>45982</v>
      </c>
      <c r="G54" s="8">
        <v>0.5</v>
      </c>
      <c r="H54" s="2" t="s">
        <v>101</v>
      </c>
      <c r="I54" s="9" t="str">
        <f>_xlfn.XLOOKUP(Timeform[[#This Row],[Vaaridigheid]],Lijsten!C:C,Lijsten!A:A)</f>
        <v>Realiseren</v>
      </c>
    </row>
    <row r="55" spans="2:9" ht="28.8" x14ac:dyDescent="0.3">
      <c r="B55" s="2" t="s">
        <v>5</v>
      </c>
      <c r="C55" s="2" t="s">
        <v>64</v>
      </c>
      <c r="D55" s="6" t="s">
        <v>122</v>
      </c>
      <c r="E55" s="6" t="s">
        <v>123</v>
      </c>
      <c r="F55" s="48">
        <v>45982</v>
      </c>
      <c r="G55" s="8">
        <v>4</v>
      </c>
      <c r="H55" s="2" t="s">
        <v>101</v>
      </c>
      <c r="I55" s="9" t="str">
        <f>_xlfn.XLOOKUP(Timeform[[#This Row],[Vaaridigheid]],Lijsten!C:C,Lijsten!A:A)</f>
        <v>Ontwerpen</v>
      </c>
    </row>
    <row r="56" spans="2:9" ht="28.8" x14ac:dyDescent="0.3">
      <c r="B56" s="2" t="s">
        <v>2</v>
      </c>
      <c r="C56" s="2" t="s">
        <v>50</v>
      </c>
      <c r="D56" s="6" t="s">
        <v>59</v>
      </c>
      <c r="E56" s="6" t="s">
        <v>124</v>
      </c>
      <c r="F56" s="7">
        <v>45982</v>
      </c>
      <c r="G56" s="8">
        <v>0.75</v>
      </c>
      <c r="H56" s="2" t="s">
        <v>101</v>
      </c>
      <c r="I56" s="9" t="str">
        <f>_xlfn.XLOOKUP(Timeform[[#This Row],[Vaaridigheid]],Lijsten!C:C,Lijsten!A:A)</f>
        <v>Realiseren</v>
      </c>
    </row>
    <row r="57" spans="2:9" ht="28.8" x14ac:dyDescent="0.3">
      <c r="B57" s="2" t="s">
        <v>3</v>
      </c>
      <c r="C57" s="2" t="s">
        <v>50</v>
      </c>
      <c r="D57" s="6" t="s">
        <v>125</v>
      </c>
      <c r="E57" s="6" t="s">
        <v>126</v>
      </c>
      <c r="F57" s="7">
        <v>45982</v>
      </c>
      <c r="G57" s="8">
        <v>0.5</v>
      </c>
      <c r="H57" s="2" t="s">
        <v>101</v>
      </c>
      <c r="I57" s="9" t="str">
        <f>_xlfn.XLOOKUP(Timeform[[#This Row],[Vaaridigheid]],Lijsten!C:C,Lijsten!A:A)</f>
        <v>Realiseren</v>
      </c>
    </row>
    <row r="58" spans="2:9" x14ac:dyDescent="0.3">
      <c r="B58" s="2" t="s">
        <v>7</v>
      </c>
      <c r="C58" s="2" t="s">
        <v>50</v>
      </c>
      <c r="D58" s="6" t="s">
        <v>127</v>
      </c>
      <c r="E58" s="6" t="s">
        <v>128</v>
      </c>
      <c r="F58" s="7">
        <v>45982</v>
      </c>
      <c r="G58" s="8">
        <v>1</v>
      </c>
      <c r="H58" s="2" t="s">
        <v>101</v>
      </c>
      <c r="I58" s="9" t="str">
        <f>_xlfn.XLOOKUP(Timeform[[#This Row],[Vaaridigheid]],Lijsten!C:C,Lijsten!A:A)</f>
        <v>Analyseren</v>
      </c>
    </row>
    <row r="59" spans="2:9" ht="43.2" x14ac:dyDescent="0.3">
      <c r="B59" s="2" t="s">
        <v>2</v>
      </c>
      <c r="C59" s="2" t="s">
        <v>54</v>
      </c>
      <c r="D59" s="6" t="s">
        <v>93</v>
      </c>
      <c r="E59" s="6" t="s">
        <v>129</v>
      </c>
      <c r="F59" s="7">
        <v>45982</v>
      </c>
      <c r="G59" s="8">
        <v>0.5</v>
      </c>
      <c r="H59" s="2" t="s">
        <v>101</v>
      </c>
      <c r="I59" s="9" t="str">
        <f>_xlfn.XLOOKUP(Timeform[[#This Row],[Vaaridigheid]],Lijsten!C:C,Lijsten!A:A)</f>
        <v>Realiseren</v>
      </c>
    </row>
    <row r="60" spans="2:9" x14ac:dyDescent="0.3">
      <c r="B60" s="2" t="s">
        <v>2</v>
      </c>
      <c r="C60" s="2" t="s">
        <v>104</v>
      </c>
      <c r="D60" s="6" t="s">
        <v>130</v>
      </c>
      <c r="E60" s="6" t="s">
        <v>131</v>
      </c>
      <c r="F60" s="7">
        <v>45982</v>
      </c>
      <c r="G60" s="8">
        <v>0.25</v>
      </c>
      <c r="H60" s="2" t="s">
        <v>101</v>
      </c>
      <c r="I60" s="9" t="str">
        <f>_xlfn.XLOOKUP(Timeform[[#This Row],[Vaaridigheid]],Lijsten!C:C,Lijsten!A:A)</f>
        <v>Realiseren</v>
      </c>
    </row>
    <row r="61" spans="2:9" x14ac:dyDescent="0.3">
      <c r="B61" s="2" t="s">
        <v>7</v>
      </c>
      <c r="C61" s="2" t="s">
        <v>50</v>
      </c>
      <c r="D61" s="6" t="s">
        <v>102</v>
      </c>
      <c r="E61" s="6" t="s">
        <v>89</v>
      </c>
      <c r="F61" s="7">
        <v>45982</v>
      </c>
      <c r="G61" s="8">
        <v>4</v>
      </c>
      <c r="H61" s="2" t="s">
        <v>101</v>
      </c>
      <c r="I61" s="9" t="str">
        <f>_xlfn.XLOOKUP(Timeform[[#This Row],[Vaaridigheid]],Lijsten!C:C,Lijsten!A:A)</f>
        <v>Analyseren</v>
      </c>
    </row>
    <row r="62" spans="2:9" x14ac:dyDescent="0.3">
      <c r="B62" s="2" t="s">
        <v>7</v>
      </c>
      <c r="C62" s="2" t="s">
        <v>50</v>
      </c>
      <c r="D62" s="6" t="s">
        <v>125</v>
      </c>
      <c r="E62" s="6" t="s">
        <v>132</v>
      </c>
      <c r="F62" s="7">
        <v>45982</v>
      </c>
      <c r="G62" s="8">
        <v>1.5</v>
      </c>
      <c r="H62" s="2" t="s">
        <v>101</v>
      </c>
      <c r="I62" s="9" t="str">
        <f>_xlfn.XLOOKUP(Timeform[[#This Row],[Vaaridigheid]],Lijsten!C:C,Lijsten!A:A)</f>
        <v>Realiseren</v>
      </c>
    </row>
    <row r="63" spans="2:9" x14ac:dyDescent="0.3">
      <c r="B63" s="2" t="s">
        <v>3</v>
      </c>
      <c r="C63" s="2" t="s">
        <v>50</v>
      </c>
      <c r="D63" s="6" t="s">
        <v>96</v>
      </c>
      <c r="E63" s="6" t="s">
        <v>133</v>
      </c>
      <c r="F63" s="7">
        <v>45983</v>
      </c>
      <c r="G63" s="8">
        <v>0.75</v>
      </c>
      <c r="H63" s="2" t="s">
        <v>101</v>
      </c>
      <c r="I63" s="9" t="str">
        <f>_xlfn.XLOOKUP(Timeform[[#This Row],[Vaaridigheid]],Lijsten!C:C,Lijsten!A:A)</f>
        <v>Adviseren</v>
      </c>
    </row>
    <row r="64" spans="2:9" x14ac:dyDescent="0.3">
      <c r="B64" s="2" t="s">
        <v>3</v>
      </c>
      <c r="C64" s="2" t="s">
        <v>50</v>
      </c>
      <c r="D64" s="6" t="s">
        <v>96</v>
      </c>
      <c r="E64" s="6" t="s">
        <v>98</v>
      </c>
      <c r="F64" s="7">
        <v>45985</v>
      </c>
      <c r="G64" s="8">
        <v>0.5</v>
      </c>
      <c r="H64" s="2" t="s">
        <v>101</v>
      </c>
      <c r="I64" s="9" t="str">
        <f>_xlfn.XLOOKUP(Timeform[[#This Row],[Vaaridigheid]],Lijsten!C:C,Lijsten!A:A)</f>
        <v>Adviseren</v>
      </c>
    </row>
    <row r="65" spans="2:9" ht="43.2" x14ac:dyDescent="0.3">
      <c r="B65" s="2" t="s">
        <v>3</v>
      </c>
      <c r="C65" s="2" t="s">
        <v>104</v>
      </c>
      <c r="D65" s="6" t="s">
        <v>117</v>
      </c>
      <c r="E65" s="6" t="s">
        <v>134</v>
      </c>
      <c r="F65" s="7">
        <v>45985</v>
      </c>
      <c r="G65" s="8">
        <v>3</v>
      </c>
      <c r="H65" s="2" t="s">
        <v>135</v>
      </c>
      <c r="I65" s="9" t="str">
        <f>_xlfn.XLOOKUP(Timeform[[#This Row],[Vaaridigheid]],Lijsten!C:C,Lijsten!A:A)</f>
        <v>Realiseren</v>
      </c>
    </row>
    <row r="66" spans="2:9" x14ac:dyDescent="0.3">
      <c r="B66" s="2" t="s">
        <v>2</v>
      </c>
      <c r="C66" s="2" t="s">
        <v>50</v>
      </c>
      <c r="D66" s="6" t="s">
        <v>136</v>
      </c>
      <c r="E66" s="6" t="s">
        <v>137</v>
      </c>
      <c r="F66" s="7">
        <v>45986</v>
      </c>
      <c r="G66" s="8">
        <v>0.5</v>
      </c>
      <c r="H66" s="2" t="s">
        <v>135</v>
      </c>
      <c r="I66" s="9" t="str">
        <f>_xlfn.XLOOKUP(Timeform[[#This Row],[Vaaridigheid]],Lijsten!C:C,Lijsten!A:A)</f>
        <v>Adviseren</v>
      </c>
    </row>
    <row r="67" spans="2:9" x14ac:dyDescent="0.3">
      <c r="B67" s="2" t="s">
        <v>2</v>
      </c>
      <c r="C67" s="2" t="s">
        <v>104</v>
      </c>
      <c r="D67" s="6" t="s">
        <v>105</v>
      </c>
      <c r="E67" s="6" t="s">
        <v>138</v>
      </c>
      <c r="F67" s="7">
        <v>45986</v>
      </c>
      <c r="G67" s="8">
        <v>4</v>
      </c>
      <c r="H67" s="2" t="s">
        <v>135</v>
      </c>
      <c r="I67" s="9" t="str">
        <f>_xlfn.XLOOKUP(Timeform[[#This Row],[Vaaridigheid]],Lijsten!C:C,Lijsten!A:A)</f>
        <v>Realiseren</v>
      </c>
    </row>
    <row r="68" spans="2:9" ht="43.2" x14ac:dyDescent="0.3">
      <c r="B68" s="2" t="s">
        <v>3</v>
      </c>
      <c r="C68" s="2" t="s">
        <v>104</v>
      </c>
      <c r="D68" s="6" t="s">
        <v>117</v>
      </c>
      <c r="E68" s="6" t="s">
        <v>139</v>
      </c>
      <c r="F68" s="7">
        <v>45986</v>
      </c>
      <c r="G68" s="8">
        <v>5</v>
      </c>
      <c r="H68" s="2" t="s">
        <v>135</v>
      </c>
      <c r="I68" s="9" t="str">
        <f>_xlfn.XLOOKUP(Timeform[[#This Row],[Vaaridigheid]],Lijsten!C:C,Lijsten!A:A)</f>
        <v>Realiseren</v>
      </c>
    </row>
    <row r="69" spans="2:9" x14ac:dyDescent="0.3">
      <c r="B69" s="2" t="s">
        <v>3</v>
      </c>
      <c r="C69" s="2" t="s">
        <v>64</v>
      </c>
      <c r="D69" s="6" t="s">
        <v>140</v>
      </c>
      <c r="E69" s="6" t="s">
        <v>141</v>
      </c>
      <c r="F69" s="7">
        <v>45986</v>
      </c>
      <c r="G69" s="8">
        <v>1</v>
      </c>
      <c r="H69" s="2" t="s">
        <v>135</v>
      </c>
      <c r="I69" s="9" t="str">
        <f>_xlfn.XLOOKUP(Timeform[[#This Row],[Vaaridigheid]],Lijsten!C:C,Lijsten!A:A)</f>
        <v>Ontwerpen</v>
      </c>
    </row>
    <row r="70" spans="2:9" x14ac:dyDescent="0.3">
      <c r="B70" s="2" t="s">
        <v>7</v>
      </c>
      <c r="C70" s="2" t="s">
        <v>104</v>
      </c>
      <c r="D70" s="6" t="s">
        <v>105</v>
      </c>
      <c r="E70" s="6" t="s">
        <v>142</v>
      </c>
      <c r="F70" s="7">
        <v>45986</v>
      </c>
      <c r="G70" s="8">
        <v>4</v>
      </c>
      <c r="H70" s="2" t="s">
        <v>135</v>
      </c>
      <c r="I70" s="9" t="str">
        <f>_xlfn.XLOOKUP(Timeform[[#This Row],[Vaaridigheid]],Lijsten!C:C,Lijsten!A:A)</f>
        <v>Realiseren</v>
      </c>
    </row>
    <row r="71" spans="2:9" x14ac:dyDescent="0.3">
      <c r="B71" s="2" t="s">
        <v>2</v>
      </c>
      <c r="C71" s="2" t="s">
        <v>36</v>
      </c>
      <c r="D71" s="6" t="s">
        <v>37</v>
      </c>
      <c r="E71" s="6" t="s">
        <v>100</v>
      </c>
      <c r="F71" s="7">
        <v>45987</v>
      </c>
      <c r="G71" s="8">
        <v>3</v>
      </c>
      <c r="H71" s="2" t="s">
        <v>135</v>
      </c>
      <c r="I71" s="9" t="str">
        <f>_xlfn.XLOOKUP(Timeform[[#This Row],[Vaaridigheid]],Lijsten!C:C,Lijsten!A:A)</f>
        <v>Analyseren</v>
      </c>
    </row>
    <row r="72" spans="2:9" x14ac:dyDescent="0.3">
      <c r="B72" s="2" t="s">
        <v>3</v>
      </c>
      <c r="C72" s="2" t="s">
        <v>36</v>
      </c>
      <c r="D72" s="6" t="s">
        <v>37</v>
      </c>
      <c r="E72" s="6" t="s">
        <v>100</v>
      </c>
      <c r="F72" s="7">
        <v>45987</v>
      </c>
      <c r="G72" s="8">
        <v>3</v>
      </c>
      <c r="H72" s="2" t="s">
        <v>135</v>
      </c>
      <c r="I72" s="9" t="str">
        <f>_xlfn.XLOOKUP(Timeform[[#This Row],[Vaaridigheid]],Lijsten!C:C,Lijsten!A:A)</f>
        <v>Analyseren</v>
      </c>
    </row>
    <row r="73" spans="2:9" x14ac:dyDescent="0.3">
      <c r="B73" s="2" t="s">
        <v>2</v>
      </c>
      <c r="C73" s="2" t="s">
        <v>104</v>
      </c>
      <c r="D73" s="6" t="s">
        <v>105</v>
      </c>
      <c r="E73" s="6" t="s">
        <v>138</v>
      </c>
      <c r="F73" s="7">
        <v>45987</v>
      </c>
      <c r="G73" s="8">
        <v>1.5</v>
      </c>
      <c r="H73" s="2" t="s">
        <v>135</v>
      </c>
      <c r="I73" s="9" t="str">
        <f>_xlfn.XLOOKUP(Timeform[[#This Row],[Vaaridigheid]],Lijsten!C:C,Lijsten!A:A)</f>
        <v>Realiseren</v>
      </c>
    </row>
    <row r="74" spans="2:9" ht="28.8" x14ac:dyDescent="0.3">
      <c r="B74" s="2" t="s">
        <v>2</v>
      </c>
      <c r="C74" s="2" t="s">
        <v>104</v>
      </c>
      <c r="D74" s="6" t="s">
        <v>130</v>
      </c>
      <c r="E74" s="6" t="s">
        <v>143</v>
      </c>
      <c r="F74" s="7">
        <v>45987</v>
      </c>
      <c r="G74" s="8">
        <v>1</v>
      </c>
      <c r="H74" s="2" t="s">
        <v>135</v>
      </c>
      <c r="I74" s="9" t="str">
        <f>_xlfn.XLOOKUP(Timeform[[#This Row],[Vaaridigheid]],Lijsten!C:C,Lijsten!A:A)</f>
        <v>Realiseren</v>
      </c>
    </row>
    <row r="75" spans="2:9" ht="28.8" x14ac:dyDescent="0.3">
      <c r="B75" s="2" t="s">
        <v>3</v>
      </c>
      <c r="C75" s="2" t="s">
        <v>73</v>
      </c>
      <c r="D75" s="6" t="s">
        <v>76</v>
      </c>
      <c r="E75" s="6" t="s">
        <v>144</v>
      </c>
      <c r="F75" s="7">
        <v>45987</v>
      </c>
      <c r="G75" s="8">
        <v>3</v>
      </c>
      <c r="H75" s="2" t="s">
        <v>135</v>
      </c>
      <c r="I75" s="9" t="str">
        <f>_xlfn.XLOOKUP(Timeform[[#This Row],[Vaaridigheid]],Lijsten!C:C,Lijsten!A:A)</f>
        <v>Ontwerpen</v>
      </c>
    </row>
    <row r="76" spans="2:9" x14ac:dyDescent="0.3">
      <c r="B76" s="2" t="s">
        <v>7</v>
      </c>
      <c r="C76" s="2" t="s">
        <v>104</v>
      </c>
      <c r="D76" s="6" t="s">
        <v>105</v>
      </c>
      <c r="E76" s="6" t="s">
        <v>145</v>
      </c>
      <c r="F76" s="7">
        <v>45987</v>
      </c>
      <c r="G76" s="8">
        <v>3</v>
      </c>
      <c r="H76" s="2" t="s">
        <v>135</v>
      </c>
      <c r="I76" s="9" t="str">
        <f>_xlfn.XLOOKUP(Timeform[[#This Row],[Vaaridigheid]],Lijsten!C:C,Lijsten!A:A)</f>
        <v>Realiseren</v>
      </c>
    </row>
    <row r="77" spans="2:9" x14ac:dyDescent="0.3">
      <c r="B77" s="2" t="s">
        <v>5</v>
      </c>
      <c r="C77" s="2" t="s">
        <v>104</v>
      </c>
      <c r="D77" s="6" t="s">
        <v>105</v>
      </c>
      <c r="E77" s="6" t="s">
        <v>146</v>
      </c>
      <c r="F77" s="49">
        <v>45987</v>
      </c>
      <c r="G77" s="8">
        <v>2.5</v>
      </c>
      <c r="H77" s="2" t="s">
        <v>101</v>
      </c>
      <c r="I77" s="9" t="str">
        <f>_xlfn.XLOOKUP(Timeform[[#This Row],[Vaaridigheid]],Lijsten!C:C,Lijsten!A:A)</f>
        <v>Realiseren</v>
      </c>
    </row>
    <row r="78" spans="2:9" x14ac:dyDescent="0.3">
      <c r="B78" s="2" t="s">
        <v>2</v>
      </c>
      <c r="C78" s="2" t="s">
        <v>104</v>
      </c>
      <c r="D78" s="6" t="s">
        <v>130</v>
      </c>
      <c r="E78" s="6" t="s">
        <v>147</v>
      </c>
      <c r="F78" s="7">
        <v>45988</v>
      </c>
      <c r="G78" s="8">
        <v>1</v>
      </c>
      <c r="H78" s="2" t="s">
        <v>135</v>
      </c>
      <c r="I78" s="9" t="str">
        <f>_xlfn.XLOOKUP(Timeform[[#This Row],[Vaaridigheid]],Lijsten!C:C,Lijsten!A:A)</f>
        <v>Realiseren</v>
      </c>
    </row>
    <row r="79" spans="2:9" x14ac:dyDescent="0.3">
      <c r="B79" s="2" t="s">
        <v>3</v>
      </c>
      <c r="C79" s="2" t="s">
        <v>64</v>
      </c>
      <c r="D79" s="6" t="s">
        <v>111</v>
      </c>
      <c r="E79" s="6" t="s">
        <v>148</v>
      </c>
      <c r="F79" s="7">
        <v>45988</v>
      </c>
      <c r="G79" s="8">
        <v>2</v>
      </c>
      <c r="H79" s="2" t="s">
        <v>135</v>
      </c>
      <c r="I79" s="9" t="str">
        <f>_xlfn.XLOOKUP(Timeform[[#This Row],[Vaaridigheid]],Lijsten!C:C,Lijsten!A:A)</f>
        <v>Ontwerpen</v>
      </c>
    </row>
    <row r="80" spans="2:9" x14ac:dyDescent="0.3">
      <c r="B80" s="2" t="s">
        <v>5</v>
      </c>
      <c r="C80" s="2" t="s">
        <v>104</v>
      </c>
      <c r="D80" s="6" t="s">
        <v>105</v>
      </c>
      <c r="E80" s="6" t="s">
        <v>149</v>
      </c>
      <c r="F80" s="50">
        <v>45988</v>
      </c>
      <c r="G80" s="8">
        <v>1.5</v>
      </c>
      <c r="H80" s="2" t="s">
        <v>101</v>
      </c>
      <c r="I80" s="9" t="str">
        <f>_xlfn.XLOOKUP(Timeform[[#This Row],[Vaaridigheid]],Lijsten!C:C,Lijsten!A:A)</f>
        <v>Realiseren</v>
      </c>
    </row>
    <row r="81" spans="2:9" ht="43.2" x14ac:dyDescent="0.3">
      <c r="B81" s="2" t="s">
        <v>2</v>
      </c>
      <c r="C81" s="2" t="s">
        <v>104</v>
      </c>
      <c r="D81" s="6" t="s">
        <v>105</v>
      </c>
      <c r="E81" s="6" t="s">
        <v>150</v>
      </c>
      <c r="F81" s="7">
        <v>45989</v>
      </c>
      <c r="G81" s="8">
        <v>3</v>
      </c>
      <c r="H81" s="2" t="s">
        <v>135</v>
      </c>
      <c r="I81" s="9" t="str">
        <f>_xlfn.XLOOKUP(Timeform[[#This Row],[Vaaridigheid]],Lijsten!C:C,Lijsten!A:A)</f>
        <v>Realiseren</v>
      </c>
    </row>
    <row r="82" spans="2:9" x14ac:dyDescent="0.3">
      <c r="B82" s="2" t="s">
        <v>3</v>
      </c>
      <c r="C82" s="2" t="s">
        <v>64</v>
      </c>
      <c r="D82" s="6" t="s">
        <v>111</v>
      </c>
      <c r="E82" s="6" t="s">
        <v>148</v>
      </c>
      <c r="F82" s="7">
        <v>45989</v>
      </c>
      <c r="G82" s="8">
        <v>2</v>
      </c>
      <c r="H82" s="2" t="s">
        <v>135</v>
      </c>
      <c r="I82" s="9" t="str">
        <f>_xlfn.XLOOKUP(Timeform[[#This Row],[Vaaridigheid]],Lijsten!C:C,Lijsten!A:A)</f>
        <v>Ontwerpen</v>
      </c>
    </row>
    <row r="83" spans="2:9" x14ac:dyDescent="0.3">
      <c r="B83" s="2" t="s">
        <v>7</v>
      </c>
      <c r="C83" s="2" t="s">
        <v>36</v>
      </c>
      <c r="D83" s="6" t="s">
        <v>37</v>
      </c>
      <c r="E83" s="6" t="s">
        <v>151</v>
      </c>
      <c r="F83" s="50">
        <v>45989</v>
      </c>
      <c r="G83" s="8">
        <v>2</v>
      </c>
      <c r="H83" s="2" t="s">
        <v>135</v>
      </c>
      <c r="I83" s="9" t="str">
        <f>_xlfn.XLOOKUP(Timeform[[#This Row],[Vaaridigheid]],Lijsten!C:C,Lijsten!A:A)</f>
        <v>Analyseren</v>
      </c>
    </row>
    <row r="84" spans="2:9" x14ac:dyDescent="0.3">
      <c r="B84" s="2" t="s">
        <v>5</v>
      </c>
      <c r="C84" s="2" t="s">
        <v>64</v>
      </c>
      <c r="D84" s="6" t="s">
        <v>111</v>
      </c>
      <c r="E84" s="6" t="s">
        <v>152</v>
      </c>
      <c r="F84" s="50">
        <v>45989</v>
      </c>
      <c r="G84" s="8">
        <v>2.5</v>
      </c>
      <c r="H84" s="2" t="s">
        <v>101</v>
      </c>
      <c r="I84" s="9" t="str">
        <f>_xlfn.XLOOKUP(Timeform[[#This Row],[Vaaridigheid]],Lijsten!C:C,Lijsten!A:A)</f>
        <v>Ontwerpen</v>
      </c>
    </row>
    <row r="85" spans="2:9" ht="43.2" x14ac:dyDescent="0.3">
      <c r="B85" s="2" t="s">
        <v>2</v>
      </c>
      <c r="C85" s="2" t="s">
        <v>104</v>
      </c>
      <c r="D85" s="6" t="s">
        <v>105</v>
      </c>
      <c r="E85" s="6" t="s">
        <v>153</v>
      </c>
      <c r="F85" s="7">
        <v>45990</v>
      </c>
      <c r="G85" s="8">
        <v>2</v>
      </c>
      <c r="H85" s="2" t="s">
        <v>135</v>
      </c>
      <c r="I85" s="9" t="str">
        <f>_xlfn.XLOOKUP(Timeform[[#This Row],[Vaaridigheid]],Lijsten!C:C,Lijsten!A:A)</f>
        <v>Realiseren</v>
      </c>
    </row>
    <row r="86" spans="2:9" ht="43.2" x14ac:dyDescent="0.3">
      <c r="B86" s="2" t="s">
        <v>154</v>
      </c>
      <c r="C86" s="2" t="s">
        <v>104</v>
      </c>
      <c r="D86" s="6" t="s">
        <v>105</v>
      </c>
      <c r="E86" s="6" t="s">
        <v>155</v>
      </c>
      <c r="F86" s="7">
        <v>45990</v>
      </c>
      <c r="G86" s="8">
        <v>4</v>
      </c>
      <c r="H86" s="2" t="s">
        <v>135</v>
      </c>
      <c r="I86" s="9" t="str">
        <f>_xlfn.XLOOKUP(Timeform[[#This Row],[Vaaridigheid]],Lijsten!C:C,Lijsten!A:A)</f>
        <v>Realiseren</v>
      </c>
    </row>
    <row r="87" spans="2:9" x14ac:dyDescent="0.3">
      <c r="B87" s="2" t="s">
        <v>2</v>
      </c>
      <c r="C87" s="2" t="s">
        <v>50</v>
      </c>
      <c r="D87" s="6" t="s">
        <v>80</v>
      </c>
      <c r="E87" s="6" t="s">
        <v>156</v>
      </c>
      <c r="F87" s="7">
        <v>45990</v>
      </c>
      <c r="G87" s="8">
        <v>0.5</v>
      </c>
      <c r="H87" s="2" t="s">
        <v>135</v>
      </c>
      <c r="I87" s="9" t="str">
        <f>_xlfn.XLOOKUP(Timeform[[#This Row],[Vaaridigheid]],Lijsten!C:C,Lijsten!A:A)</f>
        <v>Adviseren</v>
      </c>
    </row>
    <row r="88" spans="2:9" ht="57.6" x14ac:dyDescent="0.3">
      <c r="B88" s="2" t="s">
        <v>154</v>
      </c>
      <c r="C88" s="2" t="s">
        <v>104</v>
      </c>
      <c r="D88" s="6" t="s">
        <v>105</v>
      </c>
      <c r="E88" s="6" t="s">
        <v>157</v>
      </c>
      <c r="F88" s="7">
        <v>45991</v>
      </c>
      <c r="G88" s="8">
        <v>4.5</v>
      </c>
      <c r="H88" s="2" t="s">
        <v>135</v>
      </c>
      <c r="I88" s="9" t="str">
        <f>_xlfn.XLOOKUP(Timeform[[#This Row],[Vaaridigheid]],Lijsten!C:C,Lijsten!A:A)</f>
        <v>Realiseren</v>
      </c>
    </row>
    <row r="89" spans="2:9" x14ac:dyDescent="0.3">
      <c r="B89" s="2" t="s">
        <v>2</v>
      </c>
      <c r="C89" s="2" t="s">
        <v>50</v>
      </c>
      <c r="D89" s="6" t="s">
        <v>80</v>
      </c>
      <c r="E89" s="6" t="s">
        <v>158</v>
      </c>
      <c r="F89" s="7">
        <v>45992</v>
      </c>
      <c r="G89" s="8">
        <v>0.75</v>
      </c>
      <c r="H89" s="2" t="s">
        <v>135</v>
      </c>
      <c r="I89" s="9" t="str">
        <f>_xlfn.XLOOKUP(Timeform[[#This Row],[Vaaridigheid]],Lijsten!C:C,Lijsten!A:A)</f>
        <v>Adviseren</v>
      </c>
    </row>
    <row r="90" spans="2:9" ht="43.2" x14ac:dyDescent="0.3">
      <c r="B90" s="2" t="s">
        <v>2</v>
      </c>
      <c r="C90" s="2" t="s">
        <v>104</v>
      </c>
      <c r="D90" s="6" t="s">
        <v>105</v>
      </c>
      <c r="E90" s="6" t="s">
        <v>159</v>
      </c>
      <c r="F90" s="7">
        <v>45992</v>
      </c>
      <c r="G90" s="8">
        <v>3</v>
      </c>
      <c r="H90" s="2" t="s">
        <v>135</v>
      </c>
      <c r="I90" s="9" t="str">
        <f>_xlfn.XLOOKUP(Timeform[[#This Row],[Vaaridigheid]],Lijsten!C:C,Lijsten!A:A)</f>
        <v>Realiseren</v>
      </c>
    </row>
    <row r="91" spans="2:9" x14ac:dyDescent="0.3">
      <c r="B91" s="2" t="s">
        <v>3</v>
      </c>
      <c r="C91" s="2" t="s">
        <v>104</v>
      </c>
      <c r="D91" s="6" t="s">
        <v>105</v>
      </c>
      <c r="E91" s="6" t="s">
        <v>160</v>
      </c>
      <c r="F91" s="7">
        <v>45992</v>
      </c>
      <c r="G91" s="8">
        <v>10</v>
      </c>
      <c r="H91" s="2" t="s">
        <v>135</v>
      </c>
      <c r="I91" s="9" t="str">
        <f>_xlfn.XLOOKUP(Timeform[[#This Row],[Vaaridigheid]],Lijsten!C:C,Lijsten!A:A)</f>
        <v>Realiseren</v>
      </c>
    </row>
    <row r="92" spans="2:9" x14ac:dyDescent="0.3">
      <c r="B92" s="2" t="s">
        <v>5</v>
      </c>
      <c r="C92" s="2" t="s">
        <v>50</v>
      </c>
      <c r="D92" s="6" t="s">
        <v>96</v>
      </c>
      <c r="E92" s="6" t="s">
        <v>161</v>
      </c>
      <c r="F92" s="50">
        <v>45992</v>
      </c>
      <c r="G92" s="8">
        <v>0.5</v>
      </c>
      <c r="H92" s="2" t="s">
        <v>135</v>
      </c>
      <c r="I92" s="9" t="str">
        <f>_xlfn.XLOOKUP(Timeform[[#This Row],[Vaaridigheid]],Lijsten!C:C,Lijsten!A:A)</f>
        <v>Adviseren</v>
      </c>
    </row>
    <row r="93" spans="2:9" x14ac:dyDescent="0.3">
      <c r="B93" s="2" t="s">
        <v>2</v>
      </c>
      <c r="C93" s="2" t="s">
        <v>50</v>
      </c>
      <c r="D93" s="6" t="s">
        <v>90</v>
      </c>
      <c r="E93" s="6" t="s">
        <v>100</v>
      </c>
      <c r="F93" s="7">
        <v>45993</v>
      </c>
      <c r="G93" s="8">
        <v>2</v>
      </c>
      <c r="H93" s="2" t="s">
        <v>135</v>
      </c>
      <c r="I93" s="9" t="str">
        <f>_xlfn.XLOOKUP(Timeform[[#This Row],[Vaaridigheid]],Lijsten!C:C,Lijsten!A:A)</f>
        <v>Analyseren</v>
      </c>
    </row>
    <row r="94" spans="2:9" x14ac:dyDescent="0.3">
      <c r="B94" s="2" t="s">
        <v>3</v>
      </c>
      <c r="C94" s="2" t="s">
        <v>50</v>
      </c>
      <c r="D94" s="6" t="s">
        <v>90</v>
      </c>
      <c r="E94" s="6" t="s">
        <v>100</v>
      </c>
      <c r="F94" s="7">
        <v>45993</v>
      </c>
      <c r="G94" s="8">
        <v>2</v>
      </c>
      <c r="H94" s="2" t="s">
        <v>135</v>
      </c>
      <c r="I94" s="9" t="str">
        <f>_xlfn.XLOOKUP(Timeform[[#This Row],[Vaaridigheid]],Lijsten!C:C,Lijsten!A:A)</f>
        <v>Analyseren</v>
      </c>
    </row>
    <row r="95" spans="2:9" x14ac:dyDescent="0.3">
      <c r="B95" s="2" t="s">
        <v>5</v>
      </c>
      <c r="C95" s="2" t="s">
        <v>50</v>
      </c>
      <c r="D95" s="6" t="s">
        <v>90</v>
      </c>
      <c r="E95" s="6" t="s">
        <v>100</v>
      </c>
      <c r="F95" s="7">
        <v>45993</v>
      </c>
      <c r="G95" s="8">
        <v>2</v>
      </c>
      <c r="H95" s="2" t="s">
        <v>135</v>
      </c>
      <c r="I95" s="9" t="str">
        <f>_xlfn.XLOOKUP(Timeform[[#This Row],[Vaaridigheid]],Lijsten!C:C,Lijsten!A:A)</f>
        <v>Analyseren</v>
      </c>
    </row>
    <row r="96" spans="2:9" x14ac:dyDescent="0.3">
      <c r="B96" s="2" t="s">
        <v>7</v>
      </c>
      <c r="C96" s="2" t="s">
        <v>50</v>
      </c>
      <c r="D96" s="6" t="s">
        <v>90</v>
      </c>
      <c r="E96" s="6" t="s">
        <v>100</v>
      </c>
      <c r="F96" s="7">
        <v>45993</v>
      </c>
      <c r="G96" s="8">
        <v>2</v>
      </c>
      <c r="H96" s="2" t="s">
        <v>135</v>
      </c>
      <c r="I96" s="9" t="str">
        <f>_xlfn.XLOOKUP(Timeform[[#This Row],[Vaaridigheid]],Lijsten!C:C,Lijsten!A:A)</f>
        <v>Analyseren</v>
      </c>
    </row>
    <row r="97" spans="2:9" ht="28.8" x14ac:dyDescent="0.3">
      <c r="B97" s="2" t="s">
        <v>2</v>
      </c>
      <c r="C97" s="2" t="s">
        <v>104</v>
      </c>
      <c r="D97" s="6" t="s">
        <v>105</v>
      </c>
      <c r="E97" s="6" t="s">
        <v>162</v>
      </c>
      <c r="F97" s="7">
        <v>45993</v>
      </c>
      <c r="G97" s="8">
        <v>4</v>
      </c>
      <c r="H97" s="2" t="s">
        <v>135</v>
      </c>
      <c r="I97" s="9" t="str">
        <f>_xlfn.XLOOKUP(Timeform[[#This Row],[Vaaridigheid]],Lijsten!C:C,Lijsten!A:A)</f>
        <v>Realiseren</v>
      </c>
    </row>
    <row r="98" spans="2:9" x14ac:dyDescent="0.3">
      <c r="B98" s="2" t="s">
        <v>2</v>
      </c>
      <c r="C98" s="2" t="s">
        <v>50</v>
      </c>
      <c r="D98" s="6" t="s">
        <v>136</v>
      </c>
      <c r="E98" s="6" t="s">
        <v>163</v>
      </c>
      <c r="F98" s="50">
        <v>45993</v>
      </c>
      <c r="G98" s="8">
        <v>0.5</v>
      </c>
      <c r="H98" s="2" t="s">
        <v>135</v>
      </c>
      <c r="I98" s="9" t="str">
        <f>_xlfn.XLOOKUP(Timeform[[#This Row],[Vaaridigheid]],Lijsten!C:C,Lijsten!A:A)</f>
        <v>Adviseren</v>
      </c>
    </row>
    <row r="99" spans="2:9" x14ac:dyDescent="0.3">
      <c r="B99" s="2" t="s">
        <v>2</v>
      </c>
      <c r="C99" s="2" t="s">
        <v>104</v>
      </c>
      <c r="D99" s="6" t="s">
        <v>105</v>
      </c>
      <c r="E99" s="6" t="s">
        <v>164</v>
      </c>
      <c r="F99" s="7">
        <v>45994</v>
      </c>
      <c r="G99" s="8">
        <v>2</v>
      </c>
      <c r="H99" s="2" t="s">
        <v>135</v>
      </c>
      <c r="I99" s="9" t="str">
        <f>_xlfn.XLOOKUP(Timeform[[#This Row],[Vaaridigheid]],Lijsten!C:C,Lijsten!A:A)</f>
        <v>Realiseren</v>
      </c>
    </row>
    <row r="100" spans="2:9" x14ac:dyDescent="0.3">
      <c r="B100" s="2" t="s">
        <v>5</v>
      </c>
      <c r="C100" s="2" t="s">
        <v>50</v>
      </c>
      <c r="D100" s="6" t="s">
        <v>136</v>
      </c>
      <c r="E100" s="6" t="s">
        <v>165</v>
      </c>
      <c r="F100" s="7">
        <v>45994</v>
      </c>
      <c r="G100" s="8">
        <v>1</v>
      </c>
      <c r="H100" s="2" t="s">
        <v>135</v>
      </c>
      <c r="I100" s="9" t="str">
        <f>_xlfn.XLOOKUP(Timeform[[#This Row],[Vaaridigheid]],Lijsten!C:C,Lijsten!A:A)</f>
        <v>Adviseren</v>
      </c>
    </row>
    <row r="101" spans="2:9" x14ac:dyDescent="0.3">
      <c r="B101" s="2" t="s">
        <v>7</v>
      </c>
      <c r="C101" s="2" t="s">
        <v>50</v>
      </c>
      <c r="D101" s="6" t="s">
        <v>90</v>
      </c>
      <c r="E101" s="6" t="s">
        <v>166</v>
      </c>
      <c r="F101" s="50">
        <v>45994</v>
      </c>
      <c r="G101" s="8">
        <v>2</v>
      </c>
      <c r="H101" s="2" t="s">
        <v>135</v>
      </c>
      <c r="I101" s="9" t="str">
        <f>_xlfn.XLOOKUP(Timeform[[#This Row],[Vaaridigheid]],Lijsten!C:C,Lijsten!A:A)</f>
        <v>Analyseren</v>
      </c>
    </row>
    <row r="102" spans="2:9" x14ac:dyDescent="0.3">
      <c r="B102" s="2" t="s">
        <v>2</v>
      </c>
      <c r="C102" s="2" t="s">
        <v>104</v>
      </c>
      <c r="D102" s="6" t="s">
        <v>105</v>
      </c>
      <c r="E102" s="6" t="s">
        <v>167</v>
      </c>
      <c r="F102" s="7">
        <v>45995</v>
      </c>
      <c r="G102" s="8">
        <v>1.5</v>
      </c>
      <c r="H102" s="2" t="s">
        <v>135</v>
      </c>
      <c r="I102" s="9" t="str">
        <f>_xlfn.XLOOKUP(Timeform[[#This Row],[Vaaridigheid]],Lijsten!C:C,Lijsten!A:A)</f>
        <v>Realiseren</v>
      </c>
    </row>
    <row r="103" spans="2:9" x14ac:dyDescent="0.3">
      <c r="B103" s="2" t="s">
        <v>7</v>
      </c>
      <c r="C103" s="2" t="s">
        <v>104</v>
      </c>
      <c r="D103" s="6" t="s">
        <v>105</v>
      </c>
      <c r="E103" s="6" t="s">
        <v>168</v>
      </c>
      <c r="F103" s="50">
        <v>45995</v>
      </c>
      <c r="G103" s="8">
        <v>2</v>
      </c>
      <c r="H103" s="2" t="s">
        <v>135</v>
      </c>
      <c r="I103" s="9" t="str">
        <f>_xlfn.XLOOKUP(Timeform[[#This Row],[Vaaridigheid]],Lijsten!C:C,Lijsten!A:A)</f>
        <v>Realiseren</v>
      </c>
    </row>
    <row r="104" spans="2:9" x14ac:dyDescent="0.3">
      <c r="B104" s="2" t="s">
        <v>3</v>
      </c>
      <c r="C104" s="2" t="s">
        <v>104</v>
      </c>
      <c r="D104" s="6" t="s">
        <v>105</v>
      </c>
      <c r="E104" s="6" t="s">
        <v>160</v>
      </c>
      <c r="F104" s="7">
        <v>45995</v>
      </c>
      <c r="G104" s="8">
        <v>6</v>
      </c>
      <c r="H104" s="2" t="s">
        <v>135</v>
      </c>
      <c r="I104" s="9" t="str">
        <f>_xlfn.XLOOKUP(Timeform[[#This Row],[Vaaridigheid]],Lijsten!C:C,Lijsten!A:A)</f>
        <v>Realiseren</v>
      </c>
    </row>
    <row r="105" spans="2:9" x14ac:dyDescent="0.3">
      <c r="B105" s="2" t="s">
        <v>5</v>
      </c>
      <c r="C105" s="2" t="s">
        <v>104</v>
      </c>
      <c r="D105" s="6" t="s">
        <v>105</v>
      </c>
      <c r="E105" s="6" t="s">
        <v>169</v>
      </c>
      <c r="F105" s="50">
        <v>45995</v>
      </c>
      <c r="G105" s="8">
        <v>2.5</v>
      </c>
      <c r="H105" s="2" t="s">
        <v>135</v>
      </c>
      <c r="I105" s="9" t="str">
        <f>_xlfn.XLOOKUP(Timeform[[#This Row],[Vaaridigheid]],Lijsten!C:C,Lijsten!A:A)</f>
        <v>Realiseren</v>
      </c>
    </row>
    <row r="106" spans="2:9" ht="43.2" x14ac:dyDescent="0.3">
      <c r="B106" s="2" t="s">
        <v>3</v>
      </c>
      <c r="C106" s="2" t="s">
        <v>50</v>
      </c>
      <c r="D106" s="6" t="s">
        <v>170</v>
      </c>
      <c r="E106" s="6" t="s">
        <v>171</v>
      </c>
      <c r="F106" s="7">
        <v>45996</v>
      </c>
      <c r="G106" s="8">
        <v>4</v>
      </c>
      <c r="H106" s="2" t="s">
        <v>135</v>
      </c>
      <c r="I106" s="9" t="str">
        <f>_xlfn.XLOOKUP(Timeform[[#This Row],[Vaaridigheid]],Lijsten!C:C,Lijsten!A:A)</f>
        <v>Realiseren</v>
      </c>
    </row>
    <row r="107" spans="2:9" ht="28.8" x14ac:dyDescent="0.3">
      <c r="B107" s="2" t="s">
        <v>3</v>
      </c>
      <c r="C107" s="2" t="s">
        <v>50</v>
      </c>
      <c r="D107" s="6" t="s">
        <v>125</v>
      </c>
      <c r="E107" s="6" t="s">
        <v>126</v>
      </c>
      <c r="F107" s="7">
        <v>45996</v>
      </c>
      <c r="G107" s="8">
        <v>2</v>
      </c>
      <c r="H107" s="2" t="s">
        <v>135</v>
      </c>
      <c r="I107" s="9" t="str">
        <f>_xlfn.XLOOKUP(Timeform[[#This Row],[Vaaridigheid]],Lijsten!C:C,Lijsten!A:A)</f>
        <v>Realiseren</v>
      </c>
    </row>
    <row r="108" spans="2:9" x14ac:dyDescent="0.3">
      <c r="B108" s="2" t="s">
        <v>5</v>
      </c>
      <c r="C108" s="2" t="s">
        <v>104</v>
      </c>
      <c r="D108" s="6" t="s">
        <v>105</v>
      </c>
      <c r="E108" s="6" t="s">
        <v>172</v>
      </c>
      <c r="F108" s="50">
        <v>45996</v>
      </c>
      <c r="G108" s="8">
        <v>3</v>
      </c>
      <c r="H108" s="2" t="s">
        <v>135</v>
      </c>
      <c r="I108" s="9" t="str">
        <f>_xlfn.XLOOKUP(Timeform[[#This Row],[Vaaridigheid]],Lijsten!C:C,Lijsten!A:A)</f>
        <v>Realiseren</v>
      </c>
    </row>
    <row r="109" spans="2:9" x14ac:dyDescent="0.3">
      <c r="B109" s="2" t="s">
        <v>2</v>
      </c>
      <c r="C109" s="2" t="s">
        <v>50</v>
      </c>
      <c r="D109" s="6" t="s">
        <v>136</v>
      </c>
      <c r="E109" s="6" t="s">
        <v>173</v>
      </c>
      <c r="F109" s="50">
        <v>45996</v>
      </c>
      <c r="G109" s="8">
        <v>1</v>
      </c>
      <c r="H109" s="2" t="s">
        <v>135</v>
      </c>
      <c r="I109" s="9" t="str">
        <f>_xlfn.XLOOKUP(Timeform[[#This Row],[Vaaridigheid]],Lijsten!C:C,Lijsten!A:A)</f>
        <v>Adviseren</v>
      </c>
    </row>
    <row r="110" spans="2:9" x14ac:dyDescent="0.3">
      <c r="B110" s="2" t="s">
        <v>5</v>
      </c>
      <c r="C110" s="2" t="s">
        <v>73</v>
      </c>
      <c r="D110" s="6" t="s">
        <v>114</v>
      </c>
      <c r="E110" s="6" t="s">
        <v>174</v>
      </c>
      <c r="F110" s="50">
        <v>45996</v>
      </c>
      <c r="G110" s="8">
        <v>0.5</v>
      </c>
      <c r="H110" s="2" t="s">
        <v>135</v>
      </c>
      <c r="I110" s="9" t="str">
        <f>_xlfn.XLOOKUP(Timeform[[#This Row],[Vaaridigheid]],Lijsten!C:C,Lijsten!A:A)</f>
        <v>Realiseren</v>
      </c>
    </row>
    <row r="111" spans="2:9" ht="28.8" x14ac:dyDescent="0.3">
      <c r="B111" s="2" t="s">
        <v>5</v>
      </c>
      <c r="C111" s="2" t="s">
        <v>50</v>
      </c>
      <c r="D111" s="6" t="s">
        <v>175</v>
      </c>
      <c r="E111" s="6" t="s">
        <v>176</v>
      </c>
      <c r="F111" s="50">
        <v>45996</v>
      </c>
      <c r="G111" s="8">
        <v>0.5</v>
      </c>
      <c r="H111" s="2" t="s">
        <v>135</v>
      </c>
      <c r="I111" s="9" t="str">
        <f>_xlfn.XLOOKUP(Timeform[[#This Row],[Vaaridigheid]],Lijsten!C:C,Lijsten!A:A)</f>
        <v>Realiseren</v>
      </c>
    </row>
    <row r="112" spans="2:9" ht="28.8" x14ac:dyDescent="0.3">
      <c r="B112" s="2" t="s">
        <v>5</v>
      </c>
      <c r="C112" s="2" t="s">
        <v>177</v>
      </c>
      <c r="D112" s="6" t="s">
        <v>177</v>
      </c>
      <c r="E112" s="6" t="s">
        <v>178</v>
      </c>
      <c r="F112" s="49"/>
      <c r="G112" s="8">
        <v>0</v>
      </c>
      <c r="H112" s="2" t="s">
        <v>179</v>
      </c>
      <c r="I112" s="9" t="e">
        <f>_xlfn.XLOOKUP(Timeform[[#This Row],[Vaaridigheid]],Lijsten!C:C,Lijsten!A:A)</f>
        <v>#N/A</v>
      </c>
    </row>
    <row r="113" spans="2:9" x14ac:dyDescent="0.3">
      <c r="B113" s="2" t="s">
        <v>2</v>
      </c>
      <c r="C113" s="2" t="s">
        <v>50</v>
      </c>
      <c r="D113" s="6" t="s">
        <v>136</v>
      </c>
      <c r="E113" s="6" t="s">
        <v>180</v>
      </c>
      <c r="F113" s="50">
        <v>45996</v>
      </c>
      <c r="G113" s="8">
        <v>0.75</v>
      </c>
      <c r="H113" s="2" t="s">
        <v>135</v>
      </c>
      <c r="I113" s="9" t="str">
        <f>_xlfn.XLOOKUP(Timeform[[#This Row],[Vaaridigheid]],Lijsten!C:C,Lijsten!A:A)</f>
        <v>Adviseren</v>
      </c>
    </row>
    <row r="114" spans="2:9" x14ac:dyDescent="0.3">
      <c r="B114" s="52" t="s">
        <v>3</v>
      </c>
      <c r="C114" s="53" t="s">
        <v>73</v>
      </c>
      <c r="D114" s="54" t="s">
        <v>114</v>
      </c>
      <c r="E114" s="54" t="s">
        <v>181</v>
      </c>
      <c r="F114" s="50">
        <v>45996</v>
      </c>
      <c r="G114" s="55">
        <v>2</v>
      </c>
      <c r="I114" s="9" t="str">
        <f>_xlfn.XLOOKUP(Timeform[[#This Row],[Vaaridigheid]],Lijsten!C:C,Lijsten!A:A)</f>
        <v>Realiseren</v>
      </c>
    </row>
    <row r="115" spans="2:9" x14ac:dyDescent="0.3">
      <c r="B115" s="56" t="s">
        <v>2</v>
      </c>
      <c r="C115" s="57" t="s">
        <v>50</v>
      </c>
      <c r="D115" s="58" t="s">
        <v>136</v>
      </c>
      <c r="E115" s="58" t="s">
        <v>222</v>
      </c>
      <c r="F115" s="50">
        <v>45996</v>
      </c>
      <c r="G115" s="8">
        <v>0.75</v>
      </c>
      <c r="H115" s="53" t="s">
        <v>135</v>
      </c>
      <c r="I115" s="9" t="str">
        <f>_xlfn.XLOOKUP(Timeform[[#This Row],[Vaaridigheid]],Lijsten!C:C,Lijsten!A:A)</f>
        <v>Adviseren</v>
      </c>
    </row>
    <row r="116" spans="2:9" x14ac:dyDescent="0.3">
      <c r="D116" s="6"/>
      <c r="E116" s="6"/>
      <c r="F116" s="49"/>
      <c r="G116" s="8"/>
      <c r="I116" s="9">
        <f>_xlfn.XLOOKUP(Timeform[[#This Row],[Vaaridigheid]],Lijsten!C:C,Lijsten!A:A)</f>
        <v>0</v>
      </c>
    </row>
    <row r="117" spans="2:9" x14ac:dyDescent="0.3">
      <c r="D117" s="6"/>
      <c r="E117" s="6"/>
      <c r="F117" s="49"/>
      <c r="G117" s="8"/>
      <c r="I117" s="9">
        <f>_xlfn.XLOOKUP(Timeform[[#This Row],[Vaaridigheid]],Lijsten!C:C,Lijsten!A:A)</f>
        <v>0</v>
      </c>
    </row>
    <row r="118" spans="2:9" x14ac:dyDescent="0.3">
      <c r="D118" s="6"/>
      <c r="E118" s="6"/>
      <c r="F118" s="49"/>
      <c r="G118" s="8"/>
      <c r="I118" s="9">
        <f>_xlfn.XLOOKUP(Timeform[[#This Row],[Vaaridigheid]],Lijsten!C:C,Lijsten!A:A)</f>
        <v>0</v>
      </c>
    </row>
    <row r="119" spans="2:9" x14ac:dyDescent="0.3">
      <c r="D119" s="6"/>
      <c r="E119" s="6"/>
      <c r="F119" s="49"/>
      <c r="G119" s="8"/>
      <c r="I119" s="9">
        <f>_xlfn.XLOOKUP(Timeform[[#This Row],[Vaaridigheid]],Lijsten!C:C,Lijsten!A:A)</f>
        <v>0</v>
      </c>
    </row>
    <row r="120" spans="2:9" x14ac:dyDescent="0.3">
      <c r="D120" s="6"/>
      <c r="E120" s="6"/>
      <c r="F120" s="49"/>
      <c r="G120" s="8"/>
      <c r="I120" s="9">
        <f>_xlfn.XLOOKUP(Timeform[[#This Row],[Vaaridigheid]],Lijsten!C:C,Lijsten!A:A)</f>
        <v>0</v>
      </c>
    </row>
    <row r="121" spans="2:9" x14ac:dyDescent="0.3">
      <c r="D121" s="6"/>
      <c r="E121" s="6"/>
      <c r="F121" s="49"/>
      <c r="G121" s="8"/>
      <c r="I121" s="9">
        <f>_xlfn.XLOOKUP(Timeform[[#This Row],[Vaaridigheid]],Lijsten!C:C,Lijsten!A:A)</f>
        <v>0</v>
      </c>
    </row>
    <row r="122" spans="2:9" x14ac:dyDescent="0.3">
      <c r="D122" s="6"/>
      <c r="E122" s="6"/>
      <c r="F122" s="49"/>
      <c r="G122" s="8"/>
      <c r="I122" s="9">
        <f>_xlfn.XLOOKUP(Timeform[[#This Row],[Vaaridigheid]],Lijsten!C:C,Lijsten!A:A)</f>
        <v>0</v>
      </c>
    </row>
    <row r="123" spans="2:9" x14ac:dyDescent="0.3">
      <c r="D123" s="6"/>
      <c r="E123" s="6"/>
      <c r="F123" s="49"/>
      <c r="G123" s="8"/>
      <c r="I123" s="9">
        <f>_xlfn.XLOOKUP(Timeform[[#This Row],[Vaaridigheid]],Lijsten!C:C,Lijsten!A:A)</f>
        <v>0</v>
      </c>
    </row>
    <row r="124" spans="2:9" x14ac:dyDescent="0.3">
      <c r="D124" s="6"/>
      <c r="E124" s="6"/>
      <c r="F124" s="49"/>
      <c r="G124" s="8"/>
      <c r="I124" s="9">
        <f>_xlfn.XLOOKUP(Timeform[[#This Row],[Vaaridigheid]],Lijsten!C:C,Lijsten!A:A)</f>
        <v>0</v>
      </c>
    </row>
    <row r="125" spans="2:9" x14ac:dyDescent="0.3">
      <c r="D125" s="6"/>
      <c r="E125" s="6"/>
      <c r="F125" s="49"/>
      <c r="G125" s="8"/>
      <c r="I125" s="9">
        <f>_xlfn.XLOOKUP(Timeform[[#This Row],[Vaaridigheid]],Lijsten!C:C,Lijsten!A:A)</f>
        <v>0</v>
      </c>
    </row>
    <row r="126" spans="2:9" x14ac:dyDescent="0.3">
      <c r="D126" s="6"/>
      <c r="E126" s="6"/>
      <c r="F126" s="49"/>
      <c r="G126" s="8"/>
      <c r="I126" s="9">
        <f>_xlfn.XLOOKUP(Timeform[[#This Row],[Vaaridigheid]],Lijsten!C:C,Lijsten!A:A)</f>
        <v>0</v>
      </c>
    </row>
    <row r="127" spans="2:9" x14ac:dyDescent="0.3">
      <c r="D127" s="6"/>
      <c r="E127" s="6"/>
      <c r="F127" s="49"/>
      <c r="G127" s="8"/>
      <c r="I127" s="9">
        <f>_xlfn.XLOOKUP(Timeform[[#This Row],[Vaaridigheid]],Lijsten!C:C,Lijsten!A:A)</f>
        <v>0</v>
      </c>
    </row>
    <row r="128" spans="2:9" x14ac:dyDescent="0.3">
      <c r="D128" s="6"/>
      <c r="E128" s="6"/>
      <c r="F128" s="49"/>
      <c r="G128" s="8"/>
      <c r="I128" s="9">
        <f>_xlfn.XLOOKUP(Timeform[[#This Row],[Vaaridigheid]],Lijsten!C:C,Lijsten!A:A)</f>
        <v>0</v>
      </c>
    </row>
    <row r="129" spans="4:9" x14ac:dyDescent="0.3">
      <c r="D129" s="6"/>
      <c r="E129" s="6"/>
      <c r="F129" s="49"/>
      <c r="G129" s="8"/>
      <c r="I129" s="9">
        <f>_xlfn.XLOOKUP(Timeform[[#This Row],[Vaaridigheid]],Lijsten!C:C,Lijsten!A:A)</f>
        <v>0</v>
      </c>
    </row>
    <row r="130" spans="4:9" x14ac:dyDescent="0.3">
      <c r="D130" s="6"/>
      <c r="E130" s="6"/>
      <c r="F130" s="49"/>
      <c r="G130" s="8"/>
      <c r="I130" s="9">
        <f>_xlfn.XLOOKUP(Timeform[[#This Row],[Vaaridigheid]],Lijsten!C:C,Lijsten!A:A)</f>
        <v>0</v>
      </c>
    </row>
    <row r="131" spans="4:9" x14ac:dyDescent="0.3">
      <c r="D131" s="6"/>
      <c r="E131" s="6"/>
      <c r="F131" s="49"/>
      <c r="G131" s="8"/>
      <c r="I131" s="9">
        <f>_xlfn.XLOOKUP(Timeform[[#This Row],[Vaaridigheid]],Lijsten!C:C,Lijsten!A:A)</f>
        <v>0</v>
      </c>
    </row>
    <row r="132" spans="4:9" x14ac:dyDescent="0.3">
      <c r="D132" s="6"/>
      <c r="E132" s="6"/>
      <c r="F132" s="49"/>
      <c r="G132" s="8"/>
      <c r="I132" s="9">
        <f>_xlfn.XLOOKUP(Timeform[[#This Row],[Vaaridigheid]],Lijsten!C:C,Lijsten!A:A)</f>
        <v>0</v>
      </c>
    </row>
    <row r="133" spans="4:9" x14ac:dyDescent="0.3">
      <c r="D133" s="6"/>
      <c r="E133" s="6"/>
      <c r="F133" s="49"/>
      <c r="G133" s="8"/>
      <c r="I133" s="9">
        <f>_xlfn.XLOOKUP(Timeform[[#This Row],[Vaaridigheid]],Lijsten!C:C,Lijsten!A:A)</f>
        <v>0</v>
      </c>
    </row>
    <row r="134" spans="4:9" x14ac:dyDescent="0.3">
      <c r="D134" s="6"/>
      <c r="E134" s="6"/>
      <c r="F134" s="49"/>
      <c r="G134" s="8"/>
      <c r="I134" s="9">
        <f>_xlfn.XLOOKUP(Timeform[[#This Row],[Vaaridigheid]],Lijsten!C:C,Lijsten!A:A)</f>
        <v>0</v>
      </c>
    </row>
    <row r="135" spans="4:9" x14ac:dyDescent="0.3">
      <c r="D135" s="6"/>
      <c r="E135" s="6"/>
      <c r="F135" s="49"/>
      <c r="G135" s="8"/>
      <c r="I135" s="9">
        <f>_xlfn.XLOOKUP(Timeform[[#This Row],[Vaaridigheid]],Lijsten!C:C,Lijsten!A:A)</f>
        <v>0</v>
      </c>
    </row>
    <row r="136" spans="4:9" x14ac:dyDescent="0.3">
      <c r="D136" s="6"/>
      <c r="E136" s="6"/>
      <c r="F136" s="49"/>
      <c r="G136" s="8"/>
      <c r="I136" s="9">
        <f>_xlfn.XLOOKUP(Timeform[[#This Row],[Vaaridigheid]],Lijsten!C:C,Lijsten!A:A)</f>
        <v>0</v>
      </c>
    </row>
    <row r="137" spans="4:9" x14ac:dyDescent="0.3">
      <c r="D137" s="6"/>
      <c r="E137" s="6"/>
      <c r="F137" s="49"/>
      <c r="G137" s="8"/>
      <c r="I137" s="9">
        <f>_xlfn.XLOOKUP(Timeform[[#This Row],[Vaaridigheid]],Lijsten!C:C,Lijsten!A:A)</f>
        <v>0</v>
      </c>
    </row>
    <row r="138" spans="4:9" x14ac:dyDescent="0.3">
      <c r="D138" s="6"/>
      <c r="E138" s="6"/>
      <c r="F138" s="49"/>
      <c r="G138" s="8"/>
      <c r="I138" s="9">
        <f>_xlfn.XLOOKUP(Timeform[[#This Row],[Vaaridigheid]],Lijsten!C:C,Lijsten!A:A)</f>
        <v>0</v>
      </c>
    </row>
    <row r="139" spans="4:9" x14ac:dyDescent="0.3">
      <c r="D139" s="6"/>
      <c r="E139" s="6"/>
      <c r="F139" s="49"/>
      <c r="G139" s="8"/>
      <c r="I139" s="9">
        <f>_xlfn.XLOOKUP(Timeform[[#This Row],[Vaaridigheid]],Lijsten!C:C,Lijsten!A:A)</f>
        <v>0</v>
      </c>
    </row>
    <row r="140" spans="4:9" x14ac:dyDescent="0.3">
      <c r="D140" s="6"/>
      <c r="E140" s="6"/>
      <c r="F140" s="49"/>
      <c r="G140" s="8"/>
      <c r="I140" s="9">
        <f>_xlfn.XLOOKUP(Timeform[[#This Row],[Vaaridigheid]],Lijsten!C:C,Lijsten!A:A)</f>
        <v>0</v>
      </c>
    </row>
    <row r="141" spans="4:9" x14ac:dyDescent="0.3">
      <c r="D141" s="6"/>
      <c r="E141" s="6"/>
      <c r="F141" s="49"/>
      <c r="G141" s="8"/>
      <c r="I141" s="9">
        <f>_xlfn.XLOOKUP(Timeform[[#This Row],[Vaaridigheid]],Lijsten!C:C,Lijsten!A:A)</f>
        <v>0</v>
      </c>
    </row>
    <row r="142" spans="4:9" x14ac:dyDescent="0.3">
      <c r="D142" s="6"/>
      <c r="E142" s="6"/>
      <c r="F142" s="49"/>
      <c r="G142" s="8"/>
      <c r="I142" s="9">
        <f>_xlfn.XLOOKUP(Timeform[[#This Row],[Vaaridigheid]],Lijsten!C:C,Lijsten!A:A)</f>
        <v>0</v>
      </c>
    </row>
    <row r="143" spans="4:9" x14ac:dyDescent="0.3">
      <c r="D143" s="6"/>
      <c r="E143" s="6"/>
      <c r="F143" s="49"/>
      <c r="G143" s="8"/>
      <c r="I143" s="9">
        <f>_xlfn.XLOOKUP(Timeform[[#This Row],[Vaaridigheid]],Lijsten!C:C,Lijsten!A:A)</f>
        <v>0</v>
      </c>
    </row>
    <row r="144" spans="4:9" x14ac:dyDescent="0.3">
      <c r="D144" s="6"/>
      <c r="E144" s="6"/>
      <c r="F144" s="49"/>
      <c r="G144" s="8"/>
      <c r="I144" s="9">
        <f>_xlfn.XLOOKUP(Timeform[[#This Row],[Vaaridigheid]],Lijsten!C:C,Lijsten!A:A)</f>
        <v>0</v>
      </c>
    </row>
    <row r="145" spans="4:9" x14ac:dyDescent="0.3">
      <c r="D145" s="6"/>
      <c r="E145" s="6"/>
      <c r="F145" s="49"/>
      <c r="G145" s="8"/>
      <c r="I145" s="9">
        <f>_xlfn.XLOOKUP(Timeform[[#This Row],[Vaaridigheid]],Lijsten!C:C,Lijsten!A:A)</f>
        <v>0</v>
      </c>
    </row>
    <row r="146" spans="4:9" x14ac:dyDescent="0.3">
      <c r="D146" s="6"/>
      <c r="E146" s="6"/>
      <c r="F146" s="49"/>
      <c r="G146" s="8"/>
      <c r="I146" s="9">
        <f>_xlfn.XLOOKUP(Timeform[[#This Row],[Vaaridigheid]],Lijsten!C:C,Lijsten!A:A)</f>
        <v>0</v>
      </c>
    </row>
    <row r="147" spans="4:9" x14ac:dyDescent="0.3">
      <c r="D147" s="6"/>
      <c r="E147" s="6"/>
      <c r="F147" s="49"/>
      <c r="G147" s="8"/>
      <c r="I147" s="9">
        <f>_xlfn.XLOOKUP(Timeform[[#This Row],[Vaaridigheid]],Lijsten!C:C,Lijsten!A:A)</f>
        <v>0</v>
      </c>
    </row>
    <row r="148" spans="4:9" x14ac:dyDescent="0.3">
      <c r="D148" s="6"/>
      <c r="E148" s="6"/>
      <c r="F148" s="49"/>
      <c r="G148" s="8"/>
      <c r="I148" s="9">
        <f>_xlfn.XLOOKUP(Timeform[[#This Row],[Vaaridigheid]],Lijsten!C:C,Lijsten!A:A)</f>
        <v>0</v>
      </c>
    </row>
    <row r="149" spans="4:9" x14ac:dyDescent="0.3">
      <c r="D149" s="6"/>
      <c r="E149" s="6"/>
      <c r="F149" s="49"/>
      <c r="G149" s="8"/>
      <c r="I149" s="9">
        <f>_xlfn.XLOOKUP(Timeform[[#This Row],[Vaaridigheid]],Lijsten!C:C,Lijsten!A:A)</f>
        <v>0</v>
      </c>
    </row>
    <row r="150" spans="4:9" x14ac:dyDescent="0.3">
      <c r="D150" s="6"/>
      <c r="E150" s="6"/>
      <c r="F150" s="49"/>
      <c r="G150" s="8"/>
      <c r="I150" s="9">
        <f>_xlfn.XLOOKUP(Timeform[[#This Row],[Vaaridigheid]],Lijsten!C:C,Lijsten!A:A)</f>
        <v>0</v>
      </c>
    </row>
    <row r="151" spans="4:9" x14ac:dyDescent="0.3">
      <c r="D151" s="6"/>
      <c r="E151" s="6"/>
      <c r="F151" s="49"/>
      <c r="G151" s="8"/>
      <c r="I151" s="9">
        <f>_xlfn.XLOOKUP(Timeform[[#This Row],[Vaaridigheid]],Lijsten!C:C,Lijsten!A:A)</f>
        <v>0</v>
      </c>
    </row>
    <row r="152" spans="4:9" x14ac:dyDescent="0.3">
      <c r="D152" s="6"/>
      <c r="E152" s="6"/>
      <c r="F152" s="49"/>
      <c r="G152" s="8"/>
      <c r="I152" s="9">
        <f>_xlfn.XLOOKUP(Timeform[[#This Row],[Vaaridigheid]],Lijsten!C:C,Lijsten!A:A)</f>
        <v>0</v>
      </c>
    </row>
    <row r="153" spans="4:9" x14ac:dyDescent="0.3">
      <c r="D153" s="6"/>
      <c r="E153" s="6"/>
      <c r="F153" s="49"/>
      <c r="G153" s="8"/>
      <c r="I153" s="9">
        <f>_xlfn.XLOOKUP(Timeform[[#This Row],[Vaaridigheid]],Lijsten!C:C,Lijsten!A:A)</f>
        <v>0</v>
      </c>
    </row>
    <row r="154" spans="4:9" x14ac:dyDescent="0.3">
      <c r="D154" s="6"/>
      <c r="E154" s="6"/>
      <c r="F154" s="49"/>
      <c r="G154" s="8"/>
      <c r="I154" s="9">
        <f>_xlfn.XLOOKUP(Timeform[[#This Row],[Vaaridigheid]],Lijsten!C:C,Lijsten!A:A)</f>
        <v>0</v>
      </c>
    </row>
    <row r="155" spans="4:9" x14ac:dyDescent="0.3">
      <c r="D155" s="6"/>
      <c r="E155" s="6"/>
      <c r="F155" s="49"/>
      <c r="G155" s="8"/>
      <c r="I155" s="9">
        <f>_xlfn.XLOOKUP(Timeform[[#This Row],[Vaaridigheid]],Lijsten!C:C,Lijsten!A:A)</f>
        <v>0</v>
      </c>
    </row>
    <row r="156" spans="4:9" x14ac:dyDescent="0.3">
      <c r="D156" s="6"/>
      <c r="E156" s="6"/>
      <c r="F156" s="49"/>
      <c r="G156" s="8"/>
      <c r="I156" s="9">
        <f>_xlfn.XLOOKUP(Timeform[[#This Row],[Vaaridigheid]],Lijsten!C:C,Lijsten!A:A)</f>
        <v>0</v>
      </c>
    </row>
    <row r="157" spans="4:9" x14ac:dyDescent="0.3">
      <c r="D157" s="6"/>
      <c r="E157" s="6"/>
      <c r="F157" s="49"/>
      <c r="G157" s="8"/>
      <c r="I157" s="9">
        <f>_xlfn.XLOOKUP(Timeform[[#This Row],[Vaaridigheid]],Lijsten!C:C,Lijsten!A:A)</f>
        <v>0</v>
      </c>
    </row>
    <row r="158" spans="4:9" x14ac:dyDescent="0.3">
      <c r="D158" s="6"/>
      <c r="E158" s="6"/>
      <c r="F158" s="49"/>
      <c r="G158" s="8"/>
      <c r="I158" s="9">
        <f>_xlfn.XLOOKUP(Timeform[[#This Row],[Vaaridigheid]],Lijsten!C:C,Lijsten!A:A)</f>
        <v>0</v>
      </c>
    </row>
    <row r="159" spans="4:9" x14ac:dyDescent="0.3">
      <c r="D159" s="6"/>
      <c r="E159" s="6"/>
      <c r="F159" s="49"/>
      <c r="G159" s="8"/>
      <c r="I159" s="9">
        <f>_xlfn.XLOOKUP(Timeform[[#This Row],[Vaaridigheid]],Lijsten!C:C,Lijsten!A:A)</f>
        <v>0</v>
      </c>
    </row>
    <row r="160" spans="4:9" x14ac:dyDescent="0.3">
      <c r="D160" s="6"/>
      <c r="E160" s="6"/>
      <c r="F160" s="49"/>
      <c r="G160" s="8"/>
      <c r="I160" s="9">
        <f>_xlfn.XLOOKUP(Timeform[[#This Row],[Vaaridigheid]],Lijsten!C:C,Lijsten!A:A)</f>
        <v>0</v>
      </c>
    </row>
    <row r="161" spans="4:9" x14ac:dyDescent="0.3">
      <c r="D161" s="6"/>
      <c r="E161" s="6"/>
      <c r="F161" s="49"/>
      <c r="G161" s="8"/>
      <c r="I161" s="9">
        <f>_xlfn.XLOOKUP(Timeform[[#This Row],[Vaaridigheid]],Lijsten!C:C,Lijsten!A:A)</f>
        <v>0</v>
      </c>
    </row>
  </sheetData>
  <dataValidations count="3">
    <dataValidation type="list" allowBlank="1" showInputMessage="1" showErrorMessage="1" sqref="C17:C22 C26:C95" xr:uid="{3B679F63-E7A4-46B9-9422-CC7BFD34CF75}">
      <formula1>INDIRECT("Processen[Proces]")</formula1>
    </dataValidation>
    <dataValidation type="list" allowBlank="1" showInputMessage="1" showErrorMessage="1" sqref="D17:D95" xr:uid="{FD0BF9B2-059A-4084-AFBD-930A41BBA88F}">
      <formula1>INDIRECT(C17)</formula1>
    </dataValidation>
    <dataValidation type="list" allowBlank="1" showInputMessage="1" showErrorMessage="1" sqref="B17:B95" xr:uid="{94C0DBD0-655B-4BA0-B38B-0D8D753E6C2A}">
      <formula1>INDIRECT("NAMENLIJST")</formula1>
    </dataValidation>
  </dataValidations>
  <pageMargins left="0.7" right="0.7" top="0.75" bottom="0.75" header="0.3" footer="0.3"/>
  <pageSetup paperSize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operator="greaterThan" allowBlank="1" showInputMessage="1" showErrorMessage="1" xr:uid="{3384E8BB-912C-47E0-A56F-34337759834B}">
          <x14:formula1>
            <xm:f>Lijsten!G28</xm:f>
          </x14:formula1>
          <xm:sqref>F17:F25 F28:F53 F55:F95 F99:F101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8D10-C669-4D94-81A5-0364DCBE81A5}">
  <dimension ref="A2:G90"/>
  <sheetViews>
    <sheetView topLeftCell="A23" workbookViewId="0">
      <selection activeCell="B32" sqref="B32:C32"/>
    </sheetView>
  </sheetViews>
  <sheetFormatPr defaultColWidth="8.88671875" defaultRowHeight="14.4" x14ac:dyDescent="0.3"/>
  <cols>
    <col min="1" max="1" width="19.44140625" style="2" customWidth="1"/>
    <col min="2" max="2" width="24.44140625" style="2" bestFit="1" customWidth="1"/>
    <col min="3" max="3" width="53.44140625" style="2" customWidth="1"/>
    <col min="4" max="5" width="8.88671875" style="2"/>
    <col min="6" max="6" width="17.5546875" style="2" bestFit="1" customWidth="1"/>
    <col min="7" max="7" width="10.33203125" style="2" bestFit="1" customWidth="1"/>
    <col min="8" max="8" width="13.109375" style="2" bestFit="1" customWidth="1"/>
    <col min="9" max="16384" width="8.88671875" style="2"/>
  </cols>
  <sheetData>
    <row r="2" spans="1:7" x14ac:dyDescent="0.3">
      <c r="A2" s="2" t="s">
        <v>0</v>
      </c>
    </row>
    <row r="3" spans="1:7" x14ac:dyDescent="0.3">
      <c r="A3" s="2" t="s">
        <v>2</v>
      </c>
    </row>
    <row r="4" spans="1:7" x14ac:dyDescent="0.3">
      <c r="A4" s="2" t="s">
        <v>3</v>
      </c>
    </row>
    <row r="5" spans="1:7" x14ac:dyDescent="0.3">
      <c r="A5" s="2" t="s">
        <v>5</v>
      </c>
    </row>
    <row r="6" spans="1:7" x14ac:dyDescent="0.3">
      <c r="A6" s="2" t="s">
        <v>7</v>
      </c>
    </row>
    <row r="7" spans="1:7" x14ac:dyDescent="0.3">
      <c r="A7" s="2" t="s">
        <v>154</v>
      </c>
    </row>
    <row r="15" spans="1:7" x14ac:dyDescent="0.3">
      <c r="A15" s="10" t="s">
        <v>35</v>
      </c>
      <c r="B15" s="10" t="s">
        <v>29</v>
      </c>
      <c r="C15" s="10" t="s">
        <v>182</v>
      </c>
      <c r="G15" s="7"/>
    </row>
    <row r="16" spans="1:7" x14ac:dyDescent="0.3">
      <c r="A16" s="11" t="s">
        <v>53</v>
      </c>
      <c r="B16" s="11" t="s">
        <v>54</v>
      </c>
      <c r="C16" s="22" t="s">
        <v>55</v>
      </c>
    </row>
    <row r="17" spans="1:3" x14ac:dyDescent="0.3">
      <c r="A17" s="11" t="s">
        <v>53</v>
      </c>
      <c r="B17" s="11" t="s">
        <v>54</v>
      </c>
      <c r="C17" s="22" t="s">
        <v>183</v>
      </c>
    </row>
    <row r="18" spans="1:3" x14ac:dyDescent="0.3">
      <c r="A18" s="11" t="s">
        <v>53</v>
      </c>
      <c r="B18" s="11" t="s">
        <v>54</v>
      </c>
      <c r="C18" s="22" t="s">
        <v>67</v>
      </c>
    </row>
    <row r="19" spans="1:3" x14ac:dyDescent="0.3">
      <c r="A19" s="11" t="s">
        <v>61</v>
      </c>
      <c r="B19" s="11" t="s">
        <v>54</v>
      </c>
      <c r="C19" s="22" t="s">
        <v>184</v>
      </c>
    </row>
    <row r="20" spans="1:3" x14ac:dyDescent="0.3">
      <c r="A20" s="13" t="s">
        <v>61</v>
      </c>
      <c r="B20" s="13" t="s">
        <v>54</v>
      </c>
      <c r="C20" s="23" t="s">
        <v>93</v>
      </c>
    </row>
    <row r="21" spans="1:3" x14ac:dyDescent="0.3">
      <c r="A21" s="11" t="s">
        <v>61</v>
      </c>
      <c r="B21" s="11" t="s">
        <v>54</v>
      </c>
      <c r="C21" s="22" t="s">
        <v>69</v>
      </c>
    </row>
    <row r="22" spans="1:3" x14ac:dyDescent="0.3">
      <c r="A22" s="11" t="s">
        <v>61</v>
      </c>
      <c r="B22" s="11" t="s">
        <v>54</v>
      </c>
      <c r="C22" s="22" t="s">
        <v>185</v>
      </c>
    </row>
    <row r="23" spans="1:3" x14ac:dyDescent="0.3">
      <c r="A23" s="11" t="s">
        <v>61</v>
      </c>
      <c r="B23" s="11" t="s">
        <v>54</v>
      </c>
      <c r="C23" s="22" t="s">
        <v>186</v>
      </c>
    </row>
    <row r="24" spans="1:3" x14ac:dyDescent="0.3">
      <c r="A24" s="11" t="s">
        <v>61</v>
      </c>
      <c r="B24" s="11" t="s">
        <v>54</v>
      </c>
      <c r="C24" s="22" t="s">
        <v>107</v>
      </c>
    </row>
    <row r="25" spans="1:3" x14ac:dyDescent="0.3">
      <c r="A25" s="13" t="s">
        <v>61</v>
      </c>
      <c r="B25" s="13" t="s">
        <v>54</v>
      </c>
      <c r="C25" s="23" t="s">
        <v>187</v>
      </c>
    </row>
    <row r="26" spans="1:3" x14ac:dyDescent="0.3">
      <c r="A26" s="11" t="s">
        <v>188</v>
      </c>
      <c r="B26" s="11" t="s">
        <v>73</v>
      </c>
      <c r="C26" s="22" t="s">
        <v>189</v>
      </c>
    </row>
    <row r="27" spans="1:3" x14ac:dyDescent="0.3">
      <c r="A27" s="11" t="s">
        <v>188</v>
      </c>
      <c r="B27" s="11" t="s">
        <v>73</v>
      </c>
      <c r="C27" s="22" t="s">
        <v>74</v>
      </c>
    </row>
    <row r="28" spans="1:3" x14ac:dyDescent="0.3">
      <c r="A28" s="11" t="s">
        <v>188</v>
      </c>
      <c r="B28" s="11" t="s">
        <v>73</v>
      </c>
      <c r="C28" s="22" t="s">
        <v>76</v>
      </c>
    </row>
    <row r="29" spans="1:3" x14ac:dyDescent="0.3">
      <c r="A29" s="11" t="s">
        <v>188</v>
      </c>
      <c r="B29" s="11" t="s">
        <v>73</v>
      </c>
      <c r="C29" s="22" t="s">
        <v>190</v>
      </c>
    </row>
    <row r="30" spans="1:3" x14ac:dyDescent="0.3">
      <c r="A30" s="11" t="s">
        <v>61</v>
      </c>
      <c r="B30" s="11" t="s">
        <v>73</v>
      </c>
      <c r="C30" s="22" t="s">
        <v>77</v>
      </c>
    </row>
    <row r="31" spans="1:3" x14ac:dyDescent="0.3">
      <c r="A31" s="11" t="s">
        <v>61</v>
      </c>
      <c r="B31" s="11" t="s">
        <v>73</v>
      </c>
      <c r="C31" s="22" t="s">
        <v>191</v>
      </c>
    </row>
    <row r="32" spans="1:3" x14ac:dyDescent="0.3">
      <c r="A32" s="11" t="s">
        <v>61</v>
      </c>
      <c r="B32" s="11" t="s">
        <v>73</v>
      </c>
      <c r="C32" s="22" t="s">
        <v>114</v>
      </c>
    </row>
    <row r="33" spans="1:3" x14ac:dyDescent="0.3">
      <c r="A33" s="11" t="s">
        <v>61</v>
      </c>
      <c r="B33" s="11" t="s">
        <v>73</v>
      </c>
      <c r="C33" s="22" t="s">
        <v>192</v>
      </c>
    </row>
    <row r="34" spans="1:3" x14ac:dyDescent="0.3">
      <c r="A34" s="11" t="s">
        <v>193</v>
      </c>
      <c r="B34" s="11" t="s">
        <v>73</v>
      </c>
      <c r="C34" s="22" t="s">
        <v>194</v>
      </c>
    </row>
    <row r="35" spans="1:3" x14ac:dyDescent="0.3">
      <c r="A35" s="14" t="s">
        <v>193</v>
      </c>
      <c r="B35" s="13" t="s">
        <v>73</v>
      </c>
      <c r="C35" s="23" t="s">
        <v>194</v>
      </c>
    </row>
    <row r="36" spans="1:3" x14ac:dyDescent="0.3">
      <c r="A36" s="11" t="s">
        <v>61</v>
      </c>
      <c r="B36" s="11" t="s">
        <v>104</v>
      </c>
      <c r="C36" s="22" t="s">
        <v>195</v>
      </c>
    </row>
    <row r="37" spans="1:3" x14ac:dyDescent="0.3">
      <c r="A37" s="11" t="s">
        <v>61</v>
      </c>
      <c r="B37" s="11" t="s">
        <v>104</v>
      </c>
      <c r="C37" s="22" t="s">
        <v>105</v>
      </c>
    </row>
    <row r="38" spans="1:3" x14ac:dyDescent="0.3">
      <c r="A38" s="11" t="s">
        <v>61</v>
      </c>
      <c r="B38" s="11" t="s">
        <v>104</v>
      </c>
      <c r="C38" s="22" t="s">
        <v>196</v>
      </c>
    </row>
    <row r="39" spans="1:3" x14ac:dyDescent="0.3">
      <c r="A39" s="11" t="s">
        <v>61</v>
      </c>
      <c r="B39" s="11" t="s">
        <v>104</v>
      </c>
      <c r="C39" s="22" t="s">
        <v>117</v>
      </c>
    </row>
    <row r="40" spans="1:3" x14ac:dyDescent="0.3">
      <c r="A40" s="11" t="s">
        <v>61</v>
      </c>
      <c r="B40" s="11" t="s">
        <v>104</v>
      </c>
      <c r="C40" s="22" t="s">
        <v>120</v>
      </c>
    </row>
    <row r="41" spans="1:3" x14ac:dyDescent="0.3">
      <c r="A41" s="11" t="s">
        <v>61</v>
      </c>
      <c r="B41" s="11" t="s">
        <v>104</v>
      </c>
      <c r="C41" s="22" t="s">
        <v>197</v>
      </c>
    </row>
    <row r="42" spans="1:3" x14ac:dyDescent="0.3">
      <c r="A42" s="11" t="s">
        <v>61</v>
      </c>
      <c r="B42" s="11" t="s">
        <v>104</v>
      </c>
      <c r="C42" s="22" t="s">
        <v>130</v>
      </c>
    </row>
    <row r="43" spans="1:3" x14ac:dyDescent="0.3">
      <c r="A43" s="11" t="s">
        <v>61</v>
      </c>
      <c r="B43" s="11" t="s">
        <v>104</v>
      </c>
      <c r="C43" s="22" t="s">
        <v>198</v>
      </c>
    </row>
    <row r="44" spans="1:3" x14ac:dyDescent="0.3">
      <c r="A44" s="13" t="s">
        <v>61</v>
      </c>
      <c r="B44" s="13" t="s">
        <v>104</v>
      </c>
      <c r="C44" s="23" t="s">
        <v>199</v>
      </c>
    </row>
    <row r="45" spans="1:3" x14ac:dyDescent="0.3">
      <c r="A45" s="11" t="s">
        <v>188</v>
      </c>
      <c r="B45" s="11" t="s">
        <v>64</v>
      </c>
      <c r="C45" s="22" t="s">
        <v>65</v>
      </c>
    </row>
    <row r="46" spans="1:3" x14ac:dyDescent="0.3">
      <c r="A46" s="11" t="s">
        <v>188</v>
      </c>
      <c r="B46" s="11" t="s">
        <v>64</v>
      </c>
      <c r="C46" s="22" t="s">
        <v>200</v>
      </c>
    </row>
    <row r="47" spans="1:3" x14ac:dyDescent="0.3">
      <c r="A47" s="11" t="s">
        <v>188</v>
      </c>
      <c r="B47" s="11" t="s">
        <v>64</v>
      </c>
      <c r="C47" s="22" t="s">
        <v>111</v>
      </c>
    </row>
    <row r="48" spans="1:3" x14ac:dyDescent="0.3">
      <c r="A48" s="11" t="s">
        <v>188</v>
      </c>
      <c r="B48" s="11" t="s">
        <v>64</v>
      </c>
      <c r="C48" s="22" t="s">
        <v>122</v>
      </c>
    </row>
    <row r="49" spans="1:3" x14ac:dyDescent="0.3">
      <c r="A49" s="11" t="s">
        <v>188</v>
      </c>
      <c r="B49" s="11" t="s">
        <v>64</v>
      </c>
      <c r="C49" s="22" t="s">
        <v>201</v>
      </c>
    </row>
    <row r="50" spans="1:3" x14ac:dyDescent="0.3">
      <c r="A50" s="11" t="s">
        <v>188</v>
      </c>
      <c r="B50" s="11" t="s">
        <v>64</v>
      </c>
      <c r="C50" s="22" t="s">
        <v>140</v>
      </c>
    </row>
    <row r="51" spans="1:3" x14ac:dyDescent="0.3">
      <c r="A51" s="11" t="s">
        <v>193</v>
      </c>
      <c r="B51" s="11" t="s">
        <v>64</v>
      </c>
      <c r="C51" s="22" t="s">
        <v>202</v>
      </c>
    </row>
    <row r="52" spans="1:3" x14ac:dyDescent="0.3">
      <c r="A52" s="15" t="s">
        <v>193</v>
      </c>
      <c r="B52" s="13" t="s">
        <v>64</v>
      </c>
      <c r="C52" s="23" t="s">
        <v>203</v>
      </c>
    </row>
    <row r="53" spans="1:3" x14ac:dyDescent="0.3">
      <c r="A53" s="11" t="s">
        <v>40</v>
      </c>
      <c r="B53" s="11" t="s">
        <v>36</v>
      </c>
      <c r="C53" s="22" t="s">
        <v>48</v>
      </c>
    </row>
    <row r="54" spans="1:3" x14ac:dyDescent="0.3">
      <c r="A54" s="11" t="s">
        <v>40</v>
      </c>
      <c r="B54" s="11" t="s">
        <v>36</v>
      </c>
      <c r="C54" s="22" t="s">
        <v>37</v>
      </c>
    </row>
    <row r="55" spans="1:3" x14ac:dyDescent="0.3">
      <c r="A55" s="11" t="s">
        <v>40</v>
      </c>
      <c r="B55" s="11" t="s">
        <v>36</v>
      </c>
      <c r="C55" s="22" t="s">
        <v>41</v>
      </c>
    </row>
    <row r="56" spans="1:3" x14ac:dyDescent="0.3">
      <c r="A56" s="11" t="s">
        <v>40</v>
      </c>
      <c r="B56" s="11" t="s">
        <v>36</v>
      </c>
      <c r="C56" s="22" t="s">
        <v>43</v>
      </c>
    </row>
    <row r="57" spans="1:3" x14ac:dyDescent="0.3">
      <c r="A57" s="11" t="s">
        <v>40</v>
      </c>
      <c r="B57" s="11" t="s">
        <v>36</v>
      </c>
      <c r="C57" s="22" t="s">
        <v>204</v>
      </c>
    </row>
    <row r="58" spans="1:3" x14ac:dyDescent="0.3">
      <c r="A58" s="11" t="s">
        <v>40</v>
      </c>
      <c r="B58" s="11" t="s">
        <v>36</v>
      </c>
      <c r="C58" s="22" t="s">
        <v>45</v>
      </c>
    </row>
    <row r="59" spans="1:3" x14ac:dyDescent="0.3">
      <c r="A59" s="11" t="s">
        <v>40</v>
      </c>
      <c r="B59" s="11" t="s">
        <v>36</v>
      </c>
      <c r="C59" s="22" t="s">
        <v>205</v>
      </c>
    </row>
    <row r="60" spans="1:3" x14ac:dyDescent="0.3">
      <c r="A60" s="11" t="s">
        <v>40</v>
      </c>
      <c r="B60" s="11" t="s">
        <v>36</v>
      </c>
      <c r="C60" s="22" t="s">
        <v>46</v>
      </c>
    </row>
    <row r="61" spans="1:3" x14ac:dyDescent="0.3">
      <c r="A61" s="11" t="s">
        <v>40</v>
      </c>
      <c r="B61" s="11" t="s">
        <v>36</v>
      </c>
      <c r="C61" s="22" t="s">
        <v>47</v>
      </c>
    </row>
    <row r="62" spans="1:3" x14ac:dyDescent="0.3">
      <c r="A62" s="16" t="s">
        <v>193</v>
      </c>
      <c r="B62" s="11" t="s">
        <v>36</v>
      </c>
      <c r="C62" s="22" t="s">
        <v>206</v>
      </c>
    </row>
    <row r="63" spans="1:3" x14ac:dyDescent="0.3">
      <c r="A63" s="13" t="s">
        <v>53</v>
      </c>
      <c r="B63" s="13" t="s">
        <v>36</v>
      </c>
      <c r="C63" s="23" t="s">
        <v>62</v>
      </c>
    </row>
    <row r="64" spans="1:3" x14ac:dyDescent="0.3">
      <c r="A64" s="12" t="s">
        <v>53</v>
      </c>
      <c r="B64" s="17" t="s">
        <v>50</v>
      </c>
      <c r="C64" s="24" t="s">
        <v>51</v>
      </c>
    </row>
    <row r="65" spans="1:3" x14ac:dyDescent="0.3">
      <c r="A65" s="12" t="s">
        <v>53</v>
      </c>
      <c r="B65" s="17" t="s">
        <v>50</v>
      </c>
      <c r="C65" s="22" t="s">
        <v>207</v>
      </c>
    </row>
    <row r="66" spans="1:3" x14ac:dyDescent="0.3">
      <c r="A66" s="12" t="s">
        <v>53</v>
      </c>
      <c r="B66" s="17" t="s">
        <v>50</v>
      </c>
      <c r="C66" s="22" t="s">
        <v>110</v>
      </c>
    </row>
    <row r="67" spans="1:3" x14ac:dyDescent="0.3">
      <c r="A67" s="12" t="s">
        <v>40</v>
      </c>
      <c r="B67" s="17" t="s">
        <v>50</v>
      </c>
      <c r="C67" s="22" t="s">
        <v>208</v>
      </c>
    </row>
    <row r="68" spans="1:3" x14ac:dyDescent="0.3">
      <c r="A68" s="12" t="s">
        <v>40</v>
      </c>
      <c r="B68" s="17" t="s">
        <v>50</v>
      </c>
      <c r="C68" s="22" t="s">
        <v>102</v>
      </c>
    </row>
    <row r="69" spans="1:3" x14ac:dyDescent="0.3">
      <c r="A69" s="12" t="s">
        <v>40</v>
      </c>
      <c r="B69" s="17" t="s">
        <v>50</v>
      </c>
      <c r="C69" s="22" t="s">
        <v>57</v>
      </c>
    </row>
    <row r="70" spans="1:3" x14ac:dyDescent="0.3">
      <c r="A70" s="12" t="s">
        <v>40</v>
      </c>
      <c r="B70" s="17" t="s">
        <v>50</v>
      </c>
      <c r="C70" s="22" t="s">
        <v>209</v>
      </c>
    </row>
    <row r="71" spans="1:3" x14ac:dyDescent="0.3">
      <c r="A71" s="12" t="s">
        <v>40</v>
      </c>
      <c r="B71" s="17" t="s">
        <v>50</v>
      </c>
      <c r="C71" s="22" t="s">
        <v>127</v>
      </c>
    </row>
    <row r="72" spans="1:3" x14ac:dyDescent="0.3">
      <c r="A72" s="12" t="s">
        <v>40</v>
      </c>
      <c r="B72" s="17" t="s">
        <v>50</v>
      </c>
      <c r="C72" s="22" t="s">
        <v>210</v>
      </c>
    </row>
    <row r="73" spans="1:3" x14ac:dyDescent="0.3">
      <c r="A73" s="12" t="s">
        <v>40</v>
      </c>
      <c r="B73" s="17" t="s">
        <v>50</v>
      </c>
      <c r="C73" s="22" t="s">
        <v>99</v>
      </c>
    </row>
    <row r="74" spans="1:3" x14ac:dyDescent="0.3">
      <c r="A74" s="12" t="s">
        <v>40</v>
      </c>
      <c r="B74" s="17" t="s">
        <v>50</v>
      </c>
      <c r="C74" s="22" t="s">
        <v>90</v>
      </c>
    </row>
    <row r="75" spans="1:3" x14ac:dyDescent="0.3">
      <c r="A75" s="12" t="s">
        <v>61</v>
      </c>
      <c r="B75" s="17" t="s">
        <v>50</v>
      </c>
      <c r="C75" s="22" t="s">
        <v>211</v>
      </c>
    </row>
    <row r="76" spans="1:3" x14ac:dyDescent="0.3">
      <c r="A76" s="12" t="s">
        <v>61</v>
      </c>
      <c r="B76" s="17" t="s">
        <v>50</v>
      </c>
      <c r="C76" s="22" t="s">
        <v>125</v>
      </c>
    </row>
    <row r="77" spans="1:3" x14ac:dyDescent="0.3">
      <c r="A77" s="12" t="s">
        <v>61</v>
      </c>
      <c r="B77" s="17" t="s">
        <v>50</v>
      </c>
      <c r="C77" s="22" t="s">
        <v>212</v>
      </c>
    </row>
    <row r="78" spans="1:3" x14ac:dyDescent="0.3">
      <c r="A78" s="12" t="s">
        <v>61</v>
      </c>
      <c r="B78" s="17" t="s">
        <v>50</v>
      </c>
      <c r="C78" s="22" t="s">
        <v>170</v>
      </c>
    </row>
    <row r="79" spans="1:3" x14ac:dyDescent="0.3">
      <c r="A79" s="12" t="s">
        <v>61</v>
      </c>
      <c r="B79" s="17" t="s">
        <v>50</v>
      </c>
      <c r="C79" s="22" t="s">
        <v>175</v>
      </c>
    </row>
    <row r="80" spans="1:3" x14ac:dyDescent="0.3">
      <c r="A80" s="12" t="s">
        <v>61</v>
      </c>
      <c r="B80" s="17" t="s">
        <v>50</v>
      </c>
      <c r="C80" s="22" t="s">
        <v>59</v>
      </c>
    </row>
    <row r="81" spans="1:3" x14ac:dyDescent="0.3">
      <c r="A81" s="12" t="s">
        <v>193</v>
      </c>
      <c r="B81" s="17" t="s">
        <v>50</v>
      </c>
      <c r="C81" s="22" t="s">
        <v>136</v>
      </c>
    </row>
    <row r="82" spans="1:3" x14ac:dyDescent="0.3">
      <c r="A82" s="12" t="s">
        <v>193</v>
      </c>
      <c r="B82" s="17" t="s">
        <v>50</v>
      </c>
      <c r="C82" s="22" t="s">
        <v>96</v>
      </c>
    </row>
    <row r="83" spans="1:3" x14ac:dyDescent="0.3">
      <c r="A83" s="12" t="s">
        <v>193</v>
      </c>
      <c r="B83" s="17" t="s">
        <v>50</v>
      </c>
      <c r="C83" s="22" t="s">
        <v>213</v>
      </c>
    </row>
    <row r="84" spans="1:3" x14ac:dyDescent="0.3">
      <c r="A84" s="12" t="s">
        <v>193</v>
      </c>
      <c r="B84" s="17" t="s">
        <v>50</v>
      </c>
      <c r="C84" s="22" t="s">
        <v>88</v>
      </c>
    </row>
    <row r="85" spans="1:3" x14ac:dyDescent="0.3">
      <c r="A85" s="12" t="s">
        <v>193</v>
      </c>
      <c r="B85" s="17" t="s">
        <v>50</v>
      </c>
      <c r="C85" s="22" t="s">
        <v>214</v>
      </c>
    </row>
    <row r="86" spans="1:3" x14ac:dyDescent="0.3">
      <c r="A86" s="12" t="s">
        <v>193</v>
      </c>
      <c r="B86" s="17" t="s">
        <v>50</v>
      </c>
      <c r="C86" s="22" t="s">
        <v>80</v>
      </c>
    </row>
    <row r="87" spans="1:3" x14ac:dyDescent="0.3">
      <c r="A87" s="12" t="s">
        <v>193</v>
      </c>
      <c r="B87" s="17" t="s">
        <v>50</v>
      </c>
      <c r="C87" s="22" t="s">
        <v>82</v>
      </c>
    </row>
    <row r="88" spans="1:3" x14ac:dyDescent="0.3">
      <c r="A88" s="12" t="s">
        <v>193</v>
      </c>
      <c r="B88" s="17" t="s">
        <v>50</v>
      </c>
      <c r="C88" s="22" t="s">
        <v>85</v>
      </c>
    </row>
    <row r="89" spans="1:3" x14ac:dyDescent="0.3">
      <c r="A89" s="12"/>
      <c r="B89" s="17"/>
      <c r="C89" s="18"/>
    </row>
    <row r="90" spans="1:3" x14ac:dyDescent="0.3">
      <c r="A90" s="12"/>
      <c r="B90" s="12"/>
      <c r="C90" s="1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32AD-7C0C-49B7-9C94-F45924FF0FA9}">
  <dimension ref="B2:F60"/>
  <sheetViews>
    <sheetView topLeftCell="A43" workbookViewId="0">
      <selection activeCell="I10" sqref="I10"/>
    </sheetView>
  </sheetViews>
  <sheetFormatPr defaultColWidth="8.88671875" defaultRowHeight="14.4" x14ac:dyDescent="0.3"/>
  <cols>
    <col min="1" max="1" width="8.88671875" style="2"/>
    <col min="2" max="2" width="33.88671875" style="2" bestFit="1" customWidth="1"/>
    <col min="3" max="3" width="13.109375" style="2" bestFit="1" customWidth="1"/>
    <col min="4" max="4" width="15.5546875" style="2" bestFit="1" customWidth="1"/>
    <col min="5" max="5" width="23.5546875" style="2" bestFit="1" customWidth="1"/>
    <col min="6" max="6" width="13.109375" style="2" bestFit="1" customWidth="1"/>
    <col min="7" max="7" width="15.5546875" style="2" bestFit="1" customWidth="1"/>
    <col min="8" max="16384" width="8.88671875" style="2"/>
  </cols>
  <sheetData>
    <row r="2" spans="2:6" x14ac:dyDescent="0.3">
      <c r="B2" s="2" t="s">
        <v>215</v>
      </c>
      <c r="E2" s="2" t="s">
        <v>216</v>
      </c>
    </row>
    <row r="3" spans="2:6" x14ac:dyDescent="0.3">
      <c r="B3" s="25" t="s">
        <v>217</v>
      </c>
      <c r="C3" s="26" t="s">
        <v>218</v>
      </c>
      <c r="E3" s="25" t="s">
        <v>217</v>
      </c>
      <c r="F3" s="26" t="s">
        <v>218</v>
      </c>
    </row>
    <row r="4" spans="2:6" x14ac:dyDescent="0.3">
      <c r="B4" s="27" t="s">
        <v>3</v>
      </c>
      <c r="C4" s="26">
        <v>88.5</v>
      </c>
      <c r="E4" s="27" t="s">
        <v>3</v>
      </c>
      <c r="F4" s="26">
        <v>88.5</v>
      </c>
    </row>
    <row r="5" spans="2:6" x14ac:dyDescent="0.3">
      <c r="B5" s="28" t="s">
        <v>39</v>
      </c>
      <c r="C5" s="26">
        <v>25.75</v>
      </c>
      <c r="E5" s="28" t="s">
        <v>39</v>
      </c>
      <c r="F5" s="26">
        <v>25.75</v>
      </c>
    </row>
    <row r="6" spans="2:6" x14ac:dyDescent="0.3">
      <c r="B6" s="29" t="s">
        <v>64</v>
      </c>
      <c r="C6" s="26">
        <v>2</v>
      </c>
      <c r="E6" s="29" t="s">
        <v>40</v>
      </c>
      <c r="F6" s="26">
        <v>9</v>
      </c>
    </row>
    <row r="7" spans="2:6" x14ac:dyDescent="0.3">
      <c r="B7" s="29" t="s">
        <v>36</v>
      </c>
      <c r="C7" s="26">
        <v>11</v>
      </c>
      <c r="E7" s="29" t="s">
        <v>53</v>
      </c>
      <c r="F7" s="26">
        <v>5</v>
      </c>
    </row>
    <row r="8" spans="2:6" x14ac:dyDescent="0.3">
      <c r="B8" s="29" t="s">
        <v>73</v>
      </c>
      <c r="C8" s="26">
        <v>3.5</v>
      </c>
      <c r="E8" s="29" t="s">
        <v>61</v>
      </c>
      <c r="F8" s="26">
        <v>2.25</v>
      </c>
    </row>
    <row r="9" spans="2:6" x14ac:dyDescent="0.3">
      <c r="B9" s="29" t="s">
        <v>50</v>
      </c>
      <c r="C9" s="26">
        <v>9.25</v>
      </c>
      <c r="E9" s="29" t="s">
        <v>188</v>
      </c>
      <c r="F9" s="26">
        <v>4</v>
      </c>
    </row>
    <row r="10" spans="2:6" x14ac:dyDescent="0.3">
      <c r="B10" s="28" t="s">
        <v>101</v>
      </c>
      <c r="C10" s="26">
        <v>17.75</v>
      </c>
      <c r="E10" s="29" t="s">
        <v>193</v>
      </c>
      <c r="F10" s="26">
        <v>5.5</v>
      </c>
    </row>
    <row r="11" spans="2:6" x14ac:dyDescent="0.3">
      <c r="B11" s="29" t="s">
        <v>104</v>
      </c>
      <c r="C11" s="26">
        <v>4</v>
      </c>
      <c r="E11" s="28" t="s">
        <v>101</v>
      </c>
      <c r="F11" s="26">
        <v>17.75</v>
      </c>
    </row>
    <row r="12" spans="2:6" x14ac:dyDescent="0.3">
      <c r="B12" s="29" t="s">
        <v>64</v>
      </c>
      <c r="C12" s="26">
        <v>8</v>
      </c>
      <c r="E12" s="29" t="s">
        <v>40</v>
      </c>
      <c r="F12" s="26">
        <v>3</v>
      </c>
    </row>
    <row r="13" spans="2:6" x14ac:dyDescent="0.3">
      <c r="B13" s="29" t="s">
        <v>50</v>
      </c>
      <c r="C13" s="26">
        <v>5.75</v>
      </c>
      <c r="E13" s="29" t="s">
        <v>53</v>
      </c>
      <c r="F13" s="26">
        <v>1</v>
      </c>
    </row>
    <row r="14" spans="2:6" x14ac:dyDescent="0.3">
      <c r="B14" s="28" t="s">
        <v>135</v>
      </c>
      <c r="C14" s="26">
        <v>45</v>
      </c>
      <c r="E14" s="29" t="s">
        <v>61</v>
      </c>
      <c r="F14" s="26">
        <v>4.5</v>
      </c>
    </row>
    <row r="15" spans="2:6" x14ac:dyDescent="0.3">
      <c r="B15" s="29" t="s">
        <v>104</v>
      </c>
      <c r="C15" s="26">
        <v>24</v>
      </c>
      <c r="E15" s="29" t="s">
        <v>188</v>
      </c>
      <c r="F15" s="26">
        <v>8</v>
      </c>
    </row>
    <row r="16" spans="2:6" x14ac:dyDescent="0.3">
      <c r="B16" s="29" t="s">
        <v>64</v>
      </c>
      <c r="C16" s="26">
        <v>5</v>
      </c>
      <c r="E16" s="29" t="s">
        <v>193</v>
      </c>
      <c r="F16" s="26">
        <v>1.25</v>
      </c>
    </row>
    <row r="17" spans="2:6" x14ac:dyDescent="0.3">
      <c r="B17" s="29" t="s">
        <v>36</v>
      </c>
      <c r="C17" s="26">
        <v>3</v>
      </c>
      <c r="E17" s="28" t="s">
        <v>135</v>
      </c>
      <c r="F17" s="26">
        <v>45</v>
      </c>
    </row>
    <row r="18" spans="2:6" x14ac:dyDescent="0.3">
      <c r="B18" s="29" t="s">
        <v>73</v>
      </c>
      <c r="C18" s="26">
        <v>5</v>
      </c>
      <c r="E18" s="29" t="s">
        <v>40</v>
      </c>
      <c r="F18" s="26">
        <v>5</v>
      </c>
    </row>
    <row r="19" spans="2:6" x14ac:dyDescent="0.3">
      <c r="B19" s="29" t="s">
        <v>50</v>
      </c>
      <c r="C19" s="26">
        <v>8</v>
      </c>
      <c r="E19" s="29" t="s">
        <v>61</v>
      </c>
      <c r="F19" s="26">
        <v>32</v>
      </c>
    </row>
    <row r="20" spans="2:6" x14ac:dyDescent="0.3">
      <c r="B20" s="27" t="s">
        <v>5</v>
      </c>
      <c r="C20" s="26">
        <v>26.5</v>
      </c>
      <c r="E20" s="29" t="s">
        <v>188</v>
      </c>
      <c r="F20" s="26">
        <v>8</v>
      </c>
    </row>
    <row r="21" spans="2:6" x14ac:dyDescent="0.3">
      <c r="B21" s="28" t="s">
        <v>39</v>
      </c>
      <c r="C21" s="26">
        <v>3</v>
      </c>
      <c r="E21" s="27" t="s">
        <v>2</v>
      </c>
      <c r="F21" s="26">
        <v>56</v>
      </c>
    </row>
    <row r="22" spans="2:6" x14ac:dyDescent="0.3">
      <c r="B22" s="29" t="s">
        <v>50</v>
      </c>
      <c r="C22" s="26">
        <v>3</v>
      </c>
      <c r="E22" s="28" t="s">
        <v>39</v>
      </c>
      <c r="F22" s="26">
        <v>11</v>
      </c>
    </row>
    <row r="23" spans="2:6" x14ac:dyDescent="0.3">
      <c r="B23" s="28" t="s">
        <v>101</v>
      </c>
      <c r="C23" s="26">
        <v>13.5</v>
      </c>
      <c r="E23" s="29" t="s">
        <v>40</v>
      </c>
      <c r="F23" s="26">
        <v>1.5</v>
      </c>
    </row>
    <row r="24" spans="2:6" x14ac:dyDescent="0.3">
      <c r="B24" s="29" t="s">
        <v>104</v>
      </c>
      <c r="C24" s="26">
        <v>4</v>
      </c>
      <c r="E24" s="29" t="s">
        <v>53</v>
      </c>
      <c r="F24" s="26">
        <v>4.5</v>
      </c>
    </row>
    <row r="25" spans="2:6" x14ac:dyDescent="0.3">
      <c r="B25" s="29" t="s">
        <v>64</v>
      </c>
      <c r="C25" s="26">
        <v>6.5</v>
      </c>
      <c r="E25" s="29" t="s">
        <v>61</v>
      </c>
      <c r="F25" s="26">
        <v>2.5</v>
      </c>
    </row>
    <row r="26" spans="2:6" x14ac:dyDescent="0.3">
      <c r="B26" s="29" t="s">
        <v>50</v>
      </c>
      <c r="C26" s="26">
        <v>3</v>
      </c>
      <c r="E26" s="29" t="s">
        <v>219</v>
      </c>
      <c r="F26" s="26">
        <v>2</v>
      </c>
    </row>
    <row r="27" spans="2:6" x14ac:dyDescent="0.3">
      <c r="B27" s="28" t="s">
        <v>135</v>
      </c>
      <c r="C27" s="26">
        <v>10</v>
      </c>
      <c r="E27" s="29" t="s">
        <v>193</v>
      </c>
      <c r="F27" s="26">
        <v>0.5</v>
      </c>
    </row>
    <row r="28" spans="2:6" x14ac:dyDescent="0.3">
      <c r="B28" s="29" t="s">
        <v>104</v>
      </c>
      <c r="C28" s="26">
        <v>5.5</v>
      </c>
      <c r="E28" s="28" t="s">
        <v>101</v>
      </c>
      <c r="F28" s="26">
        <v>13</v>
      </c>
    </row>
    <row r="29" spans="2:6" x14ac:dyDescent="0.3">
      <c r="B29" s="29" t="s">
        <v>73</v>
      </c>
      <c r="C29" s="26">
        <v>0.5</v>
      </c>
      <c r="E29" s="29" t="s">
        <v>40</v>
      </c>
      <c r="F29" s="26">
        <v>3.5</v>
      </c>
    </row>
    <row r="30" spans="2:6" x14ac:dyDescent="0.3">
      <c r="B30" s="29" t="s">
        <v>50</v>
      </c>
      <c r="C30" s="26">
        <v>4</v>
      </c>
      <c r="E30" s="29" t="s">
        <v>61</v>
      </c>
      <c r="F30" s="26">
        <v>9.5</v>
      </c>
    </row>
    <row r="31" spans="2:6" x14ac:dyDescent="0.3">
      <c r="B31" s="28" t="s">
        <v>179</v>
      </c>
      <c r="C31" s="26">
        <v>0</v>
      </c>
      <c r="E31" s="28" t="s">
        <v>135</v>
      </c>
      <c r="F31" s="26">
        <v>32</v>
      </c>
    </row>
    <row r="32" spans="2:6" x14ac:dyDescent="0.3">
      <c r="B32" s="29" t="s">
        <v>177</v>
      </c>
      <c r="C32" s="26">
        <v>0</v>
      </c>
      <c r="E32" s="29" t="s">
        <v>40</v>
      </c>
      <c r="F32" s="26">
        <v>5</v>
      </c>
    </row>
    <row r="33" spans="2:6" x14ac:dyDescent="0.3">
      <c r="B33" s="27" t="s">
        <v>7</v>
      </c>
      <c r="C33" s="26">
        <v>30</v>
      </c>
      <c r="E33" s="29" t="s">
        <v>61</v>
      </c>
      <c r="F33" s="26">
        <v>23</v>
      </c>
    </row>
    <row r="34" spans="2:6" x14ac:dyDescent="0.3">
      <c r="B34" s="28" t="s">
        <v>39</v>
      </c>
      <c r="C34" s="26">
        <v>5</v>
      </c>
      <c r="E34" s="29" t="s">
        <v>193</v>
      </c>
      <c r="F34" s="26">
        <v>4</v>
      </c>
    </row>
    <row r="35" spans="2:6" x14ac:dyDescent="0.3">
      <c r="B35" s="29" t="s">
        <v>36</v>
      </c>
      <c r="C35" s="26">
        <v>1</v>
      </c>
      <c r="E35" s="27" t="s">
        <v>5</v>
      </c>
      <c r="F35" s="26">
        <v>26.5</v>
      </c>
    </row>
    <row r="36" spans="2:6" x14ac:dyDescent="0.3">
      <c r="B36" s="29" t="s">
        <v>50</v>
      </c>
      <c r="C36" s="26">
        <v>4</v>
      </c>
      <c r="E36" s="28" t="s">
        <v>39</v>
      </c>
      <c r="F36" s="26">
        <v>3</v>
      </c>
    </row>
    <row r="37" spans="2:6" x14ac:dyDescent="0.3">
      <c r="B37" s="28" t="s">
        <v>101</v>
      </c>
      <c r="C37" s="26">
        <v>10</v>
      </c>
      <c r="E37" s="29" t="s">
        <v>53</v>
      </c>
      <c r="F37" s="26">
        <v>3</v>
      </c>
    </row>
    <row r="38" spans="2:6" x14ac:dyDescent="0.3">
      <c r="B38" s="29" t="s">
        <v>104</v>
      </c>
      <c r="C38" s="26">
        <v>3.5</v>
      </c>
      <c r="E38" s="28" t="s">
        <v>101</v>
      </c>
      <c r="F38" s="26">
        <v>13.5</v>
      </c>
    </row>
    <row r="39" spans="2:6" x14ac:dyDescent="0.3">
      <c r="B39" s="29" t="s">
        <v>50</v>
      </c>
      <c r="C39" s="26">
        <v>6.5</v>
      </c>
      <c r="E39" s="29" t="s">
        <v>40</v>
      </c>
      <c r="F39" s="26">
        <v>3</v>
      </c>
    </row>
    <row r="40" spans="2:6" x14ac:dyDescent="0.3">
      <c r="B40" s="28" t="s">
        <v>135</v>
      </c>
      <c r="C40" s="26">
        <v>15</v>
      </c>
      <c r="E40" s="29" t="s">
        <v>61</v>
      </c>
      <c r="F40" s="26">
        <v>4</v>
      </c>
    </row>
    <row r="41" spans="2:6" x14ac:dyDescent="0.3">
      <c r="B41" s="29" t="s">
        <v>104</v>
      </c>
      <c r="C41" s="26">
        <v>9</v>
      </c>
      <c r="E41" s="29" t="s">
        <v>188</v>
      </c>
      <c r="F41" s="26">
        <v>6.5</v>
      </c>
    </row>
    <row r="42" spans="2:6" x14ac:dyDescent="0.3">
      <c r="B42" s="29" t="s">
        <v>36</v>
      </c>
      <c r="C42" s="26">
        <v>2</v>
      </c>
      <c r="E42" s="28" t="s">
        <v>135</v>
      </c>
      <c r="F42" s="26">
        <v>10</v>
      </c>
    </row>
    <row r="43" spans="2:6" x14ac:dyDescent="0.3">
      <c r="B43" s="29" t="s">
        <v>50</v>
      </c>
      <c r="C43" s="26">
        <v>4</v>
      </c>
      <c r="E43" s="29" t="s">
        <v>40</v>
      </c>
      <c r="F43" s="26">
        <v>2</v>
      </c>
    </row>
    <row r="44" spans="2:6" x14ac:dyDescent="0.3">
      <c r="B44" s="27" t="s">
        <v>2</v>
      </c>
      <c r="C44" s="26">
        <v>56</v>
      </c>
      <c r="E44" s="29" t="s">
        <v>61</v>
      </c>
      <c r="F44" s="26">
        <v>6.5</v>
      </c>
    </row>
    <row r="45" spans="2:6" x14ac:dyDescent="0.3">
      <c r="B45" s="28" t="s">
        <v>39</v>
      </c>
      <c r="C45" s="26">
        <v>11</v>
      </c>
      <c r="E45" s="29" t="s">
        <v>193</v>
      </c>
      <c r="F45" s="26">
        <v>1.5</v>
      </c>
    </row>
    <row r="46" spans="2:6" x14ac:dyDescent="0.3">
      <c r="B46" s="29" t="s">
        <v>54</v>
      </c>
      <c r="C46" s="26">
        <v>2.5</v>
      </c>
      <c r="E46" s="28" t="s">
        <v>179</v>
      </c>
      <c r="F46" s="26">
        <v>0</v>
      </c>
    </row>
    <row r="47" spans="2:6" x14ac:dyDescent="0.3">
      <c r="B47" s="29" t="s">
        <v>50</v>
      </c>
      <c r="C47" s="26">
        <v>8.5</v>
      </c>
      <c r="E47" s="29" t="s">
        <v>220</v>
      </c>
      <c r="F47" s="26">
        <v>0</v>
      </c>
    </row>
    <row r="48" spans="2:6" x14ac:dyDescent="0.3">
      <c r="B48" s="28" t="s">
        <v>101</v>
      </c>
      <c r="C48" s="26">
        <v>13</v>
      </c>
      <c r="E48" s="27" t="s">
        <v>7</v>
      </c>
      <c r="F48" s="26">
        <v>30</v>
      </c>
    </row>
    <row r="49" spans="2:6" x14ac:dyDescent="0.3">
      <c r="B49" s="29" t="s">
        <v>54</v>
      </c>
      <c r="C49" s="26">
        <v>1.25</v>
      </c>
      <c r="E49" s="28" t="s">
        <v>39</v>
      </c>
      <c r="F49" s="26">
        <v>5</v>
      </c>
    </row>
    <row r="50" spans="2:6" x14ac:dyDescent="0.3">
      <c r="B50" s="29" t="s">
        <v>104</v>
      </c>
      <c r="C50" s="26">
        <v>6.5</v>
      </c>
      <c r="E50" s="29" t="s">
        <v>40</v>
      </c>
      <c r="F50" s="26">
        <v>1</v>
      </c>
    </row>
    <row r="51" spans="2:6" x14ac:dyDescent="0.3">
      <c r="B51" s="29" t="s">
        <v>73</v>
      </c>
      <c r="C51" s="26">
        <v>0.5</v>
      </c>
      <c r="E51" s="29" t="s">
        <v>61</v>
      </c>
      <c r="F51" s="26">
        <v>1.5</v>
      </c>
    </row>
    <row r="52" spans="2:6" x14ac:dyDescent="0.3">
      <c r="B52" s="29" t="s">
        <v>50</v>
      </c>
      <c r="C52" s="26">
        <v>4.75</v>
      </c>
      <c r="E52" s="29" t="s">
        <v>193</v>
      </c>
      <c r="F52" s="26">
        <v>2.5</v>
      </c>
    </row>
    <row r="53" spans="2:6" x14ac:dyDescent="0.3">
      <c r="B53" s="28" t="s">
        <v>135</v>
      </c>
      <c r="C53" s="26">
        <v>32</v>
      </c>
      <c r="E53" s="28" t="s">
        <v>101</v>
      </c>
      <c r="F53" s="26">
        <v>10</v>
      </c>
    </row>
    <row r="54" spans="2:6" x14ac:dyDescent="0.3">
      <c r="B54" s="29" t="s">
        <v>104</v>
      </c>
      <c r="C54" s="26">
        <v>23</v>
      </c>
      <c r="E54" s="29" t="s">
        <v>40</v>
      </c>
      <c r="F54" s="26">
        <v>5</v>
      </c>
    </row>
    <row r="55" spans="2:6" x14ac:dyDescent="0.3">
      <c r="B55" s="29" t="s">
        <v>36</v>
      </c>
      <c r="C55" s="26">
        <v>3</v>
      </c>
      <c r="E55" s="29" t="s">
        <v>61</v>
      </c>
      <c r="F55" s="26">
        <v>5</v>
      </c>
    </row>
    <row r="56" spans="2:6" x14ac:dyDescent="0.3">
      <c r="B56" s="29" t="s">
        <v>50</v>
      </c>
      <c r="C56" s="26">
        <v>6</v>
      </c>
      <c r="E56" s="28" t="s">
        <v>135</v>
      </c>
      <c r="F56" s="26">
        <v>15</v>
      </c>
    </row>
    <row r="57" spans="2:6" x14ac:dyDescent="0.3">
      <c r="B57" s="27" t="s">
        <v>219</v>
      </c>
      <c r="C57" s="26"/>
      <c r="E57" s="29" t="s">
        <v>40</v>
      </c>
      <c r="F57" s="26">
        <v>6</v>
      </c>
    </row>
    <row r="58" spans="2:6" x14ac:dyDescent="0.3">
      <c r="B58" s="28" t="s">
        <v>219</v>
      </c>
      <c r="C58" s="26"/>
      <c r="E58" s="29" t="s">
        <v>61</v>
      </c>
      <c r="F58" s="26">
        <v>9</v>
      </c>
    </row>
    <row r="59" spans="2:6" x14ac:dyDescent="0.3">
      <c r="B59" s="29" t="s">
        <v>219</v>
      </c>
      <c r="C59" s="26"/>
      <c r="E59" s="27" t="s">
        <v>221</v>
      </c>
      <c r="F59" s="26">
        <v>201</v>
      </c>
    </row>
    <row r="60" spans="2:6" x14ac:dyDescent="0.3">
      <c r="B60" s="27" t="s">
        <v>221</v>
      </c>
      <c r="C60" s="26">
        <v>201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6111a-4acc-4f4d-a785-1ce5750b99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4E694D7DD87B48B6C9144CF109DD7B" ma:contentTypeVersion="6" ma:contentTypeDescription="Create a new document." ma:contentTypeScope="" ma:versionID="97188e5f1206c5071cb8f612cba0f782">
  <xsd:schema xmlns:xsd="http://www.w3.org/2001/XMLSchema" xmlns:xs="http://www.w3.org/2001/XMLSchema" xmlns:p="http://schemas.microsoft.com/office/2006/metadata/properties" xmlns:ns3="72f6111a-4acc-4f4d-a785-1ce5750b99c1" targetNamespace="http://schemas.microsoft.com/office/2006/metadata/properties" ma:root="true" ma:fieldsID="5a3eb9529d3fbc0bafc0bb44ae43268f" ns3:_="">
    <xsd:import namespace="72f6111a-4acc-4f4d-a785-1ce5750b99c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6111a-4acc-4f4d-a785-1ce5750b99c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55448D21-BE2A-4C03-A3D0-D98DDB4392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88BAA02-92C8-46CC-880B-167BB75E4C44}">
  <ds:schemaRefs>
    <ds:schemaRef ds:uri="http://schemas.microsoft.com/office/2006/metadata/properties"/>
    <ds:schemaRef ds:uri="http://schemas.microsoft.com/office/infopath/2007/PartnerControls"/>
    <ds:schemaRef ds:uri="72f6111a-4acc-4f4d-a785-1ce5750b99c1"/>
  </ds:schemaRefs>
</ds:datastoreItem>
</file>

<file path=customXml/itemProps3.xml><?xml version="1.0" encoding="utf-8"?>
<ds:datastoreItem xmlns:ds="http://schemas.openxmlformats.org/officeDocument/2006/customXml" ds:itemID="{63149FC9-D1C1-4AC7-94E6-85E462BF32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f6111a-4acc-4f4d-a785-1ce5750b99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900532D-E4D5-44D8-A984-285863B16AF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36377b7-70c4-4493-a338-095918d327e9}" enabled="0" method="" siteId="{e36377b7-70c4-4493-a338-095918d32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7</vt:i4>
      </vt:variant>
    </vt:vector>
  </HeadingPairs>
  <TitlesOfParts>
    <vt:vector size="11" baseType="lpstr">
      <vt:lpstr>Invulinstructie</vt:lpstr>
      <vt:lpstr>Uren</vt:lpstr>
      <vt:lpstr>Lijsten</vt:lpstr>
      <vt:lpstr>Samenvattingen</vt:lpstr>
      <vt:lpstr>Beheerproces</vt:lpstr>
      <vt:lpstr>Implementatieproces</vt:lpstr>
      <vt:lpstr>Ontwerpproces</vt:lpstr>
      <vt:lpstr>Overig</vt:lpstr>
      <vt:lpstr>Requirementsanalyseproces</vt:lpstr>
      <vt:lpstr>Scrumproces</vt:lpstr>
      <vt:lpstr>Testproces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Tim de Boer (student)</cp:lastModifiedBy>
  <cp:revision/>
  <dcterms:created xsi:type="dcterms:W3CDTF">2025-10-16T08:07:07Z</dcterms:created>
  <dcterms:modified xsi:type="dcterms:W3CDTF">2025-12-05T21:30:07Z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0x010100A64E694D7DD87B48B6C9144CF109DD7B</vt:lpwstr>
  </property>
  <property fmtid="{D5CDD505-2E9C-101B-9397-08002B2CF9AE}" pid="3" name="MediaServiceImageTags">
    <vt:lpwstr/>
  </property>
</Properties>
</file>