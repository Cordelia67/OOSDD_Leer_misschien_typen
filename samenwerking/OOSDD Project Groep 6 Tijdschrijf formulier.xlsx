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/>
  <mc:AlternateContent xmlns:mc="http://schemas.openxmlformats.org/markup-compatibility/2006">
    <mc:Choice Requires="x15">
      <x15ac:absPath xmlns:x15ac="http://schemas.microsoft.com/office/spreadsheetml/2010/11/ac" url="https://liveadminwindesheim-my.sharepoint.com/personal/s1218918_student_windesheim_nl/Documents/jaar 2 deel 2/documentatie &amp; samenwerking/samenwerking/"/>
    </mc:Choice>
  </mc:AlternateContent>
  <xr:revisionPtr revIDLastSave="3370" documentId="8_{457C1D70-64FC-4E90-8B82-A9FD219DE9B0}" xr6:coauthVersionLast="47" xr6:coauthVersionMax="47" xr10:uidLastSave="{3C30016A-91D2-4D69-8FC7-7BEC62419C03}"/>
  <bookViews>
    <workbookView xWindow="-108" yWindow="-108" windowWidth="23256" windowHeight="12456" tabRatio="768" firstSheet="1" activeTab="3" xr2:uid="{00000000-000D-0000-FFFF-FFFF00000000}"/>
  </bookViews>
  <sheets>
    <sheet name="Invulinstructie" sheetId="4" r:id="rId1"/>
    <sheet name="Uren" sheetId="1" r:id="rId2"/>
    <sheet name="Lijsten" sheetId="2" r:id="rId3"/>
    <sheet name="Samenvattingen" sheetId="3" r:id="rId4"/>
  </sheets>
  <definedNames>
    <definedName name="_xlcn.WorksheetConnection_OOSDDProjectGroepAAATijdschrijfformulier.xlsxNamenlijst" hidden="1">Namenlijst[]</definedName>
    <definedName name="Beheerproces">Lijsten!$C$16:$C$25</definedName>
    <definedName name="Implementatieproces">Lijsten!$C$36:$C$44</definedName>
    <definedName name="Ontwerpproces">Lijsten!$C$45:$C$52</definedName>
    <definedName name="Overig">Lijsten!$C$90</definedName>
    <definedName name="Requirementsanalyseproces">Lijsten!$C$53:$C$63</definedName>
    <definedName name="Scrumproces">Lijsten!$C$64:$C$89</definedName>
    <definedName name="Testproces">Lijsten!$C$26:$C$35</definedName>
  </definedNames>
  <calcPr calcId="191028"/>
  <pivotCaches>
    <pivotCache cacheId="466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amenlijst" name="Namenlijst" connection="WorksheetConnection_OOSDD Project Groep AAA Tijdschrijf formulier.xlsx!Namenlijs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4" i="1" l="1"/>
  <c r="I406" i="1"/>
  <c r="I379" i="1"/>
  <c r="I409" i="1"/>
  <c r="I408" i="1"/>
  <c r="I378" i="1"/>
  <c r="I407" i="1"/>
  <c r="I331" i="1"/>
  <c r="I377" i="1"/>
  <c r="I404" i="1"/>
  <c r="I393" i="1"/>
  <c r="I217" i="1"/>
  <c r="I376" i="1"/>
  <c r="I401" i="1"/>
  <c r="I354" i="1"/>
  <c r="I287" i="1"/>
  <c r="I197" i="1"/>
  <c r="I56" i="1"/>
  <c r="I126" i="1"/>
  <c r="I320" i="1"/>
  <c r="I300" i="1"/>
  <c r="I275" i="1"/>
  <c r="I288" i="1"/>
  <c r="I259" i="1"/>
  <c r="I252" i="1"/>
  <c r="I247" i="1"/>
  <c r="I227" i="1"/>
  <c r="I187" i="1"/>
  <c r="I181" i="1"/>
  <c r="I216" i="1"/>
  <c r="I209" i="1"/>
  <c r="I196" i="1"/>
  <c r="I172" i="1"/>
  <c r="I158" i="1"/>
  <c r="I150" i="1"/>
  <c r="I136" i="1"/>
  <c r="I22" i="1"/>
  <c r="I385" i="1"/>
  <c r="I384" i="1"/>
  <c r="I383" i="1"/>
  <c r="I365" i="1"/>
  <c r="I363" i="1"/>
  <c r="I364" i="1"/>
  <c r="I864" i="1"/>
  <c r="I297" i="1"/>
  <c r="I55" i="1"/>
  <c r="I148" i="1"/>
  <c r="I122" i="1"/>
  <c r="I135" i="1"/>
  <c r="I149" i="1"/>
  <c r="I157" i="1"/>
  <c r="I171" i="1"/>
  <c r="I180" i="1"/>
  <c r="I186" i="1"/>
  <c r="I195" i="1"/>
  <c r="I208" i="1"/>
  <c r="I215" i="1"/>
  <c r="I226" i="1"/>
  <c r="I246" i="1"/>
  <c r="I251" i="1"/>
  <c r="I258" i="1"/>
  <c r="I274" i="1"/>
  <c r="I286" i="1"/>
  <c r="I296" i="1"/>
  <c r="I65" i="1"/>
  <c r="I66" i="1"/>
  <c r="I64" i="1"/>
  <c r="I77" i="1"/>
  <c r="I76" i="1"/>
  <c r="I50" i="1"/>
  <c r="I17" i="1"/>
  <c r="I16" i="1"/>
  <c r="I15" i="1"/>
  <c r="I14" i="1"/>
  <c r="I13" i="1"/>
  <c r="I12" i="1"/>
  <c r="I10" i="1"/>
  <c r="I9" i="1"/>
  <c r="I8" i="1"/>
  <c r="I7" i="1"/>
  <c r="I6" i="1"/>
  <c r="I5" i="1"/>
  <c r="I4" i="1"/>
  <c r="I271" i="1"/>
  <c r="I119" i="1"/>
  <c r="I283" i="1"/>
  <c r="I284" i="1"/>
  <c r="I289" i="1"/>
  <c r="I290" i="1"/>
  <c r="I291" i="1"/>
  <c r="I292" i="1"/>
  <c r="I301" i="1"/>
  <c r="I302" i="1"/>
  <c r="I303" i="1"/>
  <c r="I304" i="1"/>
  <c r="I305" i="1"/>
  <c r="I306" i="1"/>
  <c r="I285" i="1"/>
  <c r="I265" i="1"/>
  <c r="I293" i="1"/>
  <c r="I59" i="1"/>
  <c r="I81" i="1"/>
  <c r="I294" i="1"/>
  <c r="I113" i="1"/>
  <c r="I134" i="1"/>
  <c r="I145" i="1"/>
  <c r="I156" i="1"/>
  <c r="I170" i="1"/>
  <c r="I178" i="1"/>
  <c r="I184" i="1"/>
  <c r="I193" i="1"/>
  <c r="I207" i="1"/>
  <c r="I214" i="1"/>
  <c r="I225" i="1"/>
  <c r="I244" i="1"/>
  <c r="I310" i="1"/>
  <c r="I311" i="1"/>
  <c r="I312" i="1"/>
  <c r="I313" i="1"/>
  <c r="I307" i="1"/>
  <c r="I295" i="1"/>
  <c r="I314" i="1"/>
  <c r="I315" i="1"/>
  <c r="I316" i="1"/>
  <c r="I317" i="1"/>
  <c r="I318" i="1"/>
  <c r="I82" i="1"/>
  <c r="I60" i="1"/>
  <c r="I61" i="1"/>
  <c r="I62" i="1"/>
  <c r="I63" i="1"/>
  <c r="I114" i="1"/>
  <c r="I115" i="1"/>
  <c r="I116" i="1"/>
  <c r="I117" i="1"/>
  <c r="I266" i="1"/>
  <c r="I267" i="1"/>
  <c r="I268" i="1"/>
  <c r="I269" i="1"/>
  <c r="I194" i="1"/>
  <c r="I179" i="1"/>
  <c r="I146" i="1"/>
  <c r="I49" i="1"/>
  <c r="I26" i="1"/>
  <c r="I308" i="1"/>
  <c r="I270" i="1"/>
  <c r="I245" i="1"/>
  <c r="I118" i="1"/>
  <c r="I31" i="1"/>
  <c r="I185" i="1"/>
  <c r="I321" i="1"/>
  <c r="I322" i="1"/>
  <c r="I323" i="1"/>
  <c r="I324" i="1"/>
  <c r="I325" i="1"/>
  <c r="I326" i="1"/>
  <c r="I327" i="1"/>
  <c r="I328" i="1"/>
  <c r="I329" i="1"/>
  <c r="I332" i="1"/>
  <c r="I333" i="1"/>
  <c r="I334" i="1"/>
  <c r="I335" i="1"/>
  <c r="I336" i="1"/>
  <c r="I337" i="1"/>
  <c r="I338" i="1"/>
  <c r="I330" i="1"/>
  <c r="I339" i="1"/>
  <c r="I340" i="1"/>
  <c r="I51" i="1"/>
  <c r="I52" i="1"/>
  <c r="I102" i="1"/>
  <c r="I103" i="1"/>
  <c r="I341" i="1"/>
  <c r="I104" i="1"/>
  <c r="I105" i="1"/>
  <c r="I86" i="1"/>
  <c r="I147" i="1"/>
  <c r="I11" i="1"/>
  <c r="I75" i="1"/>
  <c r="I345" i="1"/>
  <c r="I343" i="1"/>
  <c r="I344" i="1"/>
  <c r="I346" i="1"/>
  <c r="I347" i="1"/>
  <c r="I348" i="1"/>
  <c r="I120" i="1"/>
  <c r="I121" i="1"/>
  <c r="I272" i="1"/>
  <c r="I273" i="1"/>
  <c r="I349" i="1"/>
  <c r="I350" i="1"/>
  <c r="I351" i="1"/>
  <c r="I352" i="1"/>
  <c r="I355" i="1"/>
  <c r="I356" i="1"/>
  <c r="I357" i="1"/>
  <c r="I358" i="1"/>
  <c r="I359" i="1"/>
  <c r="I360" i="1"/>
  <c r="I361" i="1"/>
  <c r="I362" i="1"/>
  <c r="I368" i="1"/>
  <c r="I369" i="1"/>
  <c r="I370" i="1"/>
  <c r="I371" i="1"/>
  <c r="I372" i="1"/>
  <c r="I380" i="1"/>
  <c r="I381" i="1"/>
  <c r="I382" i="1"/>
  <c r="I373" i="1"/>
  <c r="I386" i="1"/>
  <c r="I387" i="1"/>
  <c r="I388" i="1"/>
  <c r="I123" i="1"/>
  <c r="I389" i="1"/>
  <c r="I394" i="1"/>
  <c r="I395" i="1"/>
  <c r="I309" i="1"/>
  <c r="I342" i="1"/>
  <c r="I353" i="1"/>
  <c r="I396" i="1"/>
  <c r="I397" i="1"/>
  <c r="I398" i="1"/>
  <c r="I399" i="1"/>
  <c r="I400" i="1"/>
  <c r="I319" i="1"/>
  <c r="I390" i="1"/>
  <c r="I391" i="1"/>
  <c r="I402" i="1"/>
  <c r="I374" i="1"/>
  <c r="I298" i="1"/>
  <c r="I124" i="1"/>
  <c r="I125" i="1"/>
  <c r="I403" i="1"/>
  <c r="I392" i="1"/>
  <c r="I299" i="1"/>
  <c r="I366" i="1"/>
  <c r="I375" i="1"/>
  <c r="I151" i="1"/>
  <c r="I173" i="1"/>
  <c r="I367" i="1"/>
  <c r="I405" i="1"/>
  <c r="I410" i="1"/>
  <c r="I411" i="1"/>
  <c r="I412" i="1"/>
  <c r="I413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256" i="1"/>
  <c r="I263" i="1"/>
  <c r="I250" i="1"/>
  <c r="I54" i="1"/>
  <c r="I100" i="1"/>
  <c r="I48" i="1"/>
  <c r="I101" i="1"/>
  <c r="I243" i="1"/>
  <c r="I58" i="1"/>
  <c r="I107" i="1"/>
  <c r="I112" i="1"/>
  <c r="I257" i="1"/>
  <c r="I264" i="1"/>
  <c r="I167" i="1"/>
  <c r="I168" i="1"/>
  <c r="I169" i="1"/>
  <c r="I206" i="1"/>
  <c r="I224" i="1"/>
  <c r="I241" i="1"/>
  <c r="I242" i="1"/>
  <c r="I99" i="1"/>
  <c r="I98" i="1"/>
  <c r="I47" i="1"/>
  <c r="I46" i="1"/>
  <c r="I240" i="1"/>
  <c r="I239" i="1"/>
  <c r="I238" i="1"/>
  <c r="I223" i="1"/>
  <c r="I205" i="1"/>
  <c r="I166" i="1"/>
  <c r="I165" i="1"/>
  <c r="I164" i="1"/>
  <c r="I97" i="1"/>
  <c r="I96" i="1"/>
  <c r="I45" i="1"/>
  <c r="I44" i="1"/>
  <c r="I43" i="1"/>
  <c r="I25" i="1"/>
  <c r="I262" i="1"/>
  <c r="I255" i="1"/>
  <c r="I249" i="1"/>
  <c r="I237" i="1"/>
  <c r="I222" i="1"/>
  <c r="I213" i="1"/>
  <c r="I204" i="1"/>
  <c r="I192" i="1"/>
  <c r="I183" i="1"/>
  <c r="I177" i="1"/>
  <c r="I163" i="1"/>
  <c r="I155" i="1"/>
  <c r="I144" i="1"/>
  <c r="I132" i="1"/>
  <c r="I111" i="1"/>
  <c r="I282" i="1"/>
  <c r="I281" i="1"/>
  <c r="I133" i="1"/>
  <c r="I280" i="1"/>
  <c r="I279" i="1"/>
  <c r="I278" i="1"/>
  <c r="I277" i="1"/>
  <c r="I254" i="1"/>
  <c r="I276" i="1"/>
  <c r="I261" i="1"/>
  <c r="I260" i="1"/>
  <c r="I253" i="1"/>
  <c r="I248" i="1"/>
  <c r="I236" i="1"/>
  <c r="I110" i="1"/>
  <c r="I234" i="1"/>
  <c r="I235" i="1"/>
  <c r="I233" i="1"/>
  <c r="I232" i="1"/>
  <c r="I203" i="1"/>
  <c r="I162" i="1"/>
  <c r="I191" i="1"/>
  <c r="I231" i="1"/>
  <c r="I221" i="1"/>
  <c r="I154" i="1"/>
  <c r="I230" i="1"/>
  <c r="I143" i="1"/>
  <c r="I229" i="1"/>
  <c r="I228" i="1"/>
  <c r="I220" i="1"/>
  <c r="I219" i="1"/>
  <c r="I161" i="1"/>
  <c r="I212" i="1"/>
  <c r="I129" i="1"/>
  <c r="I36" i="1"/>
  <c r="I20" i="1"/>
  <c r="I34" i="1"/>
  <c r="I33" i="1"/>
  <c r="I30" i="1"/>
  <c r="I29" i="1"/>
  <c r="I28" i="1"/>
  <c r="I27" i="1"/>
  <c r="I19" i="1"/>
  <c r="I18" i="1"/>
  <c r="I21" i="1"/>
  <c r="I35" i="1"/>
  <c r="I23" i="1"/>
  <c r="I24" i="1"/>
  <c r="I37" i="1"/>
  <c r="I38" i="1"/>
  <c r="I39" i="1"/>
  <c r="I40" i="1"/>
  <c r="I41" i="1"/>
  <c r="I53" i="1"/>
  <c r="I67" i="1"/>
  <c r="I68" i="1"/>
  <c r="I69" i="1"/>
  <c r="I70" i="1"/>
  <c r="I71" i="1"/>
  <c r="I72" i="1"/>
  <c r="I73" i="1"/>
  <c r="I42" i="1"/>
  <c r="I74" i="1"/>
  <c r="I57" i="1"/>
  <c r="I78" i="1"/>
  <c r="I83" i="1"/>
  <c r="I84" i="1"/>
  <c r="I79" i="1"/>
  <c r="I87" i="1"/>
  <c r="I80" i="1"/>
  <c r="I88" i="1"/>
  <c r="I89" i="1"/>
  <c r="I90" i="1"/>
  <c r="I91" i="1"/>
  <c r="I92" i="1"/>
  <c r="I93" i="1"/>
  <c r="I106" i="1"/>
  <c r="I94" i="1"/>
  <c r="I95" i="1"/>
  <c r="I85" i="1"/>
  <c r="I108" i="1"/>
  <c r="I109" i="1"/>
  <c r="I127" i="1"/>
  <c r="I128" i="1"/>
  <c r="I130" i="1"/>
  <c r="I137" i="1"/>
  <c r="I138" i="1"/>
  <c r="I139" i="1"/>
  <c r="I140" i="1"/>
  <c r="I141" i="1"/>
  <c r="I152" i="1"/>
  <c r="I159" i="1"/>
  <c r="I153" i="1"/>
  <c r="I160" i="1"/>
  <c r="I174" i="1"/>
  <c r="I175" i="1"/>
  <c r="I182" i="1"/>
  <c r="I176" i="1"/>
  <c r="I188" i="1"/>
  <c r="I189" i="1"/>
  <c r="I198" i="1"/>
  <c r="I199" i="1"/>
  <c r="I200" i="1"/>
  <c r="I201" i="1"/>
  <c r="I202" i="1"/>
  <c r="I190" i="1"/>
  <c r="I210" i="1"/>
  <c r="I211" i="1"/>
  <c r="I218" i="1"/>
  <c r="I131" i="1"/>
  <c r="I1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OOSDD Project Groep AAA Tijdschrijf formulier.xlsx!Namenlijst" type="102" refreshedVersion="8" minRefreshableVersion="5">
    <extLst>
      <ext xmlns:x15="http://schemas.microsoft.com/office/spreadsheetml/2010/11/main" uri="{DE250136-89BD-433C-8126-D09CA5730AF9}">
        <x15:connection id="Namenlijst">
          <x15:rangePr sourceName="_xlcn.WorksheetConnection_OOSDDProjectGroepAAATijdschrijfformulier.xlsxNamenlijst"/>
        </x15:connection>
      </ext>
    </extLst>
  </connection>
</connections>
</file>

<file path=xl/sharedStrings.xml><?xml version="1.0" encoding="utf-8"?>
<sst xmlns="http://schemas.openxmlformats.org/spreadsheetml/2006/main" count="2579" uniqueCount="367">
  <si>
    <t>Namenlijst</t>
  </si>
  <si>
    <t>Welkom bij het tijdschrijf formulier voor het OOSDD Project</t>
  </si>
  <si>
    <t>Tim</t>
  </si>
  <si>
    <t>Edward</t>
  </si>
  <si>
    <t>Voor de start van het project</t>
  </si>
  <si>
    <t>Kai</t>
  </si>
  <si>
    <t>1. Namenlijst</t>
  </si>
  <si>
    <t>Nicky</t>
  </si>
  <si>
    <t>Om met dit tijdschrijfformulier te beginnen dien je eerst de namen van de projectleden in de namenlijst te zetten.</t>
  </si>
  <si>
    <t>Rick</t>
  </si>
  <si>
    <t>Deze namenlijst vind je hier.</t>
  </si>
  <si>
    <t>Vervang de namen van de docenten door de namen van je eigen teamleden</t>
  </si>
  <si>
    <t>2. Uren leegmaken</t>
  </si>
  <si>
    <t>Controleer of er geen voorbeeldinput staat op de Uren tab.</t>
  </si>
  <si>
    <t>Als deze er wel staat, gooi deze tabel leeg, alleen de blauwe kolommen!!</t>
  </si>
  <si>
    <t>Tijdens het project</t>
  </si>
  <si>
    <t>Als je werkzaamheden gedaan hebt voor het project registreer je deze op het uren tab.</t>
  </si>
  <si>
    <t>1. Selecteer je naam uit de dropdown</t>
  </si>
  <si>
    <t>2. Selecteer voor bij welk proces de werkzaamheden horen</t>
  </si>
  <si>
    <t>3. Selecter de vaardigheid waar de werkzaamheden onder vallen</t>
  </si>
  <si>
    <t>4. Geef een omschrijving van de werkzaamheden</t>
  </si>
  <si>
    <t>5. Vul de datum in</t>
  </si>
  <si>
    <t>6. Vul het aantal uren in</t>
  </si>
  <si>
    <t>7. Vul de sprint in waaraan je werkt.</t>
  </si>
  <si>
    <t>Tips voor het invullen van uren:</t>
  </si>
  <si>
    <t>Vul aan het einde van elke dag de sheet in, dat zorgt ervoor dat je goed bij bent.</t>
  </si>
  <si>
    <t>Vul ook de sheet in als je taak nog niet af is, het gaat om wat je die dag gedaan hebt.</t>
  </si>
  <si>
    <t>Ben je vergeten de sheet in te vullen? Doe het dan zo snel mogelijk en vul bij de datum de datum van de werkzaamheden in</t>
  </si>
  <si>
    <t>Heb je meerdere taken gedaan op 1 dag? Vul deze dan allemaal los in, zo kan je bij de samenvatttingen mooi zien waar je tijd aan besteed is.</t>
  </si>
  <si>
    <t>Naam</t>
  </si>
  <si>
    <t>Proces</t>
  </si>
  <si>
    <t>Vaardigheid</t>
  </si>
  <si>
    <t>Omschrijving werkzaamheden</t>
  </si>
  <si>
    <t>Datum</t>
  </si>
  <si>
    <t>Uren</t>
  </si>
  <si>
    <t>Sprint nr</t>
  </si>
  <si>
    <t>Activiteit</t>
  </si>
  <si>
    <t>Requirementsanalyseproces</t>
  </si>
  <si>
    <t>Bestuderen  probleemstelling</t>
  </si>
  <si>
    <t>Analyse projectomschrijving en de oplossingsmogelijkheden</t>
  </si>
  <si>
    <t>Sprint 0</t>
  </si>
  <si>
    <t>Beschrijven stakeholders</t>
  </si>
  <si>
    <t>Analyse van de users en hun behoeftes &amp; de stakeholders</t>
  </si>
  <si>
    <t>Uitvragen requirements</t>
  </si>
  <si>
    <t>Opstellen van requirements</t>
  </si>
  <si>
    <t>Prioriteren requirements</t>
  </si>
  <si>
    <t>Vastleggen requirements</t>
  </si>
  <si>
    <t>Opsplitsen functionele en non-functionele requirements</t>
  </si>
  <si>
    <t>Maken domeinmodel</t>
  </si>
  <si>
    <t>Opstellen van het Functioneel ontwerp</t>
  </si>
  <si>
    <t>Scrumproces</t>
  </si>
  <si>
    <t>Communicatie opzetten</t>
  </si>
  <si>
    <t>Discord maken, inrichten, iedereen toevoegen</t>
  </si>
  <si>
    <t>Aangeven behoeften</t>
  </si>
  <si>
    <t>Scrumworkshop gevolgd</t>
  </si>
  <si>
    <t>Beheerproces</t>
  </si>
  <si>
    <t>Fork maken</t>
  </si>
  <si>
    <t>Git aangemaakt</t>
  </si>
  <si>
    <t>Bepalen werklast</t>
  </si>
  <si>
    <t>Onderzoek en vragen gesteld om opdracht duidelijker te maken voor de groep.</t>
  </si>
  <si>
    <t>Reviewen werk</t>
  </si>
  <si>
    <t>Al door requirements en functioneel ontwerp gekeken, feedback wacht tot morgen met product owner.</t>
  </si>
  <si>
    <t>Organiseren requirements</t>
  </si>
  <si>
    <t>Ontwerp wireframe schermen</t>
  </si>
  <si>
    <t>Ontwerpproces</t>
  </si>
  <si>
    <t>Uitleg werking systeem</t>
  </si>
  <si>
    <t>Concept van het Technisch Ontwerp opgesteld</t>
  </si>
  <si>
    <t>Inrichten .gitignore</t>
  </si>
  <si>
    <t>Gitignore gemaakt en nagekeken</t>
  </si>
  <si>
    <t>Kiezen branchingstrategie</t>
  </si>
  <si>
    <t>Github flow</t>
  </si>
  <si>
    <t>Opstellen productbacklog</t>
  </si>
  <si>
    <t>Reviewen Edwards werk</t>
  </si>
  <si>
    <t>Bestuderen opdracht</t>
  </si>
  <si>
    <t>Doorvoeren PR naar dev</t>
  </si>
  <si>
    <t xml:space="preserve">Git merge </t>
  </si>
  <si>
    <t>Github opzetten, invites sturen, etc</t>
  </si>
  <si>
    <t>Testproces</t>
  </si>
  <si>
    <t>Verzamelen testscenarios</t>
  </si>
  <si>
    <t>Opstellen van Testontwerp</t>
  </si>
  <si>
    <t>Verzamelen testcases</t>
  </si>
  <si>
    <t>Opstellen schriftelijke testcase</t>
  </si>
  <si>
    <t>Opstellen van het concept van het Testrapportage</t>
  </si>
  <si>
    <t>PO gesprek inplannen</t>
  </si>
  <si>
    <t>Gesprek voor deze week</t>
  </si>
  <si>
    <t>Review alle documentatie van Edward</t>
  </si>
  <si>
    <t>Realiseren</t>
  </si>
  <si>
    <t>Feedback geven</t>
  </si>
  <si>
    <t>Feedback geven gebaseert op review</t>
  </si>
  <si>
    <t>Feedback ontvangen</t>
  </si>
  <si>
    <t>Review en discussie mbt Feedback team</t>
  </si>
  <si>
    <t>Aanpassen en verrijken van het Functioneel ontwerp</t>
  </si>
  <si>
    <t>Noteren actiepunten</t>
  </si>
  <si>
    <t>Notities opstellen in de requirement analyse</t>
  </si>
  <si>
    <t>Reviewen van alle documenten</t>
  </si>
  <si>
    <t>Feedback verwerken</t>
  </si>
  <si>
    <t xml:space="preserve">Opstellen van het Projectdocument </t>
  </si>
  <si>
    <t>Prioriteren productbacklog</t>
  </si>
  <si>
    <t>Prioriteiten aanpassen</t>
  </si>
  <si>
    <t>Review projectdocument</t>
  </si>
  <si>
    <t>Maken geversioneerde release</t>
  </si>
  <si>
    <t>Documenten klaarzetten voor release sprint 0</t>
  </si>
  <si>
    <t>Review Sprint 0 aan teamleden</t>
  </si>
  <si>
    <t>Doorvoeren PR naar main</t>
  </si>
  <si>
    <t>Git merge (documentatie)</t>
  </si>
  <si>
    <t>Git merge (testontwerp)</t>
  </si>
  <si>
    <t>Git merge (framework)</t>
  </si>
  <si>
    <t>Uitvoeren handmatige test</t>
  </si>
  <si>
    <t>Dubbelcheck gitmerge beide voor en na mergen.</t>
  </si>
  <si>
    <t>Inlevering klaarmaken</t>
  </si>
  <si>
    <t>Formulen, dubbelchecken, inleveren.</t>
  </si>
  <si>
    <t>Laatste moment bestand reviewen en toevoegen aan inlevering</t>
  </si>
  <si>
    <t>Reviewen en bestuderen documentatie over sprint 0 (samenvoeging)</t>
  </si>
  <si>
    <t>Controle aansluiting requirements</t>
  </si>
  <si>
    <t>Ondersteunen bij ontwerpkeuzes</t>
  </si>
  <si>
    <t>Werk presenteren</t>
  </si>
  <si>
    <t>Opstellen van een demo-presentatie</t>
  </si>
  <si>
    <t>Slides toevoegen</t>
  </si>
  <si>
    <t>opstellen van een demo-presentatie</t>
  </si>
  <si>
    <t xml:space="preserve">Presentatie </t>
  </si>
  <si>
    <t>Sprint 1</t>
  </si>
  <si>
    <t>Presentatie en retrospective</t>
  </si>
  <si>
    <t>Overleg met PO</t>
  </si>
  <si>
    <t>Feedback voor voortgangsdocument</t>
  </si>
  <si>
    <t>Workshop gevolgd</t>
  </si>
  <si>
    <t>Vaststellen sprintdoel</t>
  </si>
  <si>
    <t>Trello opgezet met taken</t>
  </si>
  <si>
    <t>Implementatieproces</t>
  </si>
  <si>
    <t>Structureer code</t>
  </si>
  <si>
    <t>Framework gemaakt</t>
  </si>
  <si>
    <t>Framework in develop gezet voor review</t>
  </si>
  <si>
    <t>Nagecheckt of framework werkt via het clonen van repository.</t>
  </si>
  <si>
    <t>Afstemmen op behoeften omgeving</t>
  </si>
  <si>
    <t>Team sturen in wat er gedaan moet worden (Samengevoegd voor sprint 1)</t>
  </si>
  <si>
    <t>Iteratief verfijnen ontwerp</t>
  </si>
  <si>
    <t>Ontwikkelen en verbeteren van de code (UC1)</t>
  </si>
  <si>
    <t>Verbinding met MYSQL database opgezet, database als service toegevoegd. Testdatabase met beheerder gemaakt.</t>
  </si>
  <si>
    <t>Databaseverbinding getest</t>
  </si>
  <si>
    <t>Ondersteunen teamlid</t>
  </si>
  <si>
    <t>Hulp met stagen commits</t>
  </si>
  <si>
    <t>Ontwikkelen en verbeteren van de code (UC2)</t>
  </si>
  <si>
    <t>Controleer aansluiting ontwerp</t>
  </si>
  <si>
    <t>Bijwerken projectdocumentatie: Requirementsanalyse, Functioneel ontwerp, Technisch ontwerp, Testontwerp, Testrapportage</t>
  </si>
  <si>
    <t>Header opstellen</t>
  </si>
  <si>
    <t>Review documentatie</t>
  </si>
  <si>
    <t>Peerreviewen code</t>
  </si>
  <si>
    <t>Review code UC1 &amp; UC2</t>
  </si>
  <si>
    <t>Controle communiceerbaarheid ontwerp</t>
  </si>
  <si>
    <t>Uitwerken ontwerpdocument en samenvoeging bij prjectdocumentatie</t>
  </si>
  <si>
    <t>Dashboard</t>
  </si>
  <si>
    <t>Monitoren voortgang sprintdoel</t>
  </si>
  <si>
    <t>Monitoring voortgang, hulp aan anderen, testing enz.</t>
  </si>
  <si>
    <t>Kiezen user stories</t>
  </si>
  <si>
    <t>User stories opzetten</t>
  </si>
  <si>
    <t>Dashboard naar develop met merge conflict, dat getest en opgelost, daarna naar main &amp; release.</t>
  </si>
  <si>
    <t>Spoor fouten op</t>
  </si>
  <si>
    <t>de fout ^</t>
  </si>
  <si>
    <t>Opstellen SCRUM retrospective</t>
  </si>
  <si>
    <t>Mergen feature met PR</t>
  </si>
  <si>
    <t>Git merge (Database verbinding)</t>
  </si>
  <si>
    <t>Git merge (Dashboard)</t>
  </si>
  <si>
    <t>Testen meerdere stappen van release</t>
  </si>
  <si>
    <t>Alles verzamelen, formuleren, dubbelchecken, inleveren.</t>
  </si>
  <si>
    <t>Projectdocument analyseren</t>
  </si>
  <si>
    <t>Review ontwerpdocument</t>
  </si>
  <si>
    <t>Opstellen van een demo-presentatie Sprint 1</t>
  </si>
  <si>
    <t>Aanpassing en aanvulling van het Requirementsanalyse en het Functioneel ontwerp m.b.t. UC3 - UC5.</t>
  </si>
  <si>
    <t>Sprint 2</t>
  </si>
  <si>
    <t>nvt</t>
  </si>
  <si>
    <t>Heel sprint 0-half sprint 1 ziekteverzuim wegens operatie.</t>
  </si>
  <si>
    <t>Sprint 0-1</t>
  </si>
  <si>
    <t>Daily standup</t>
  </si>
  <si>
    <t>Daily standup als scrummaster gehouden</t>
  </si>
  <si>
    <t>Dailystandup</t>
  </si>
  <si>
    <t>Adviseren</t>
  </si>
  <si>
    <t>Feedback geven aan mijn teamgenoten</t>
  </si>
  <si>
    <t>Feedback verwerken in mijn document.</t>
  </si>
  <si>
    <t>Werk presenteren sprint 1</t>
  </si>
  <si>
    <t>Helpen met error visual studio</t>
  </si>
  <si>
    <t>Styling</t>
  </si>
  <si>
    <t>Aanpassing en aanvulling van Technisch Ontwerp v1.2.0 m.b.t. UC3-UC5 incl. nieuwe diagrammen</t>
  </si>
  <si>
    <t>Controle toepassing ontwerptechnieken</t>
  </si>
  <si>
    <t>Ontwerpen oefenscherm</t>
  </si>
  <si>
    <t xml:space="preserve">Header </t>
  </si>
  <si>
    <t>Voorbereiding Persoonlijk en Teams Retrospectief en het Voortgangsdocument</t>
  </si>
  <si>
    <t>Begonnen met foute database van vorige sprint veilig weghalen</t>
  </si>
  <si>
    <t>Aanpassing en aanvulliong het Testontwerp en het Testrapportage v1.2.0</t>
  </si>
  <si>
    <t>Header IDE fouten oplossen</t>
  </si>
  <si>
    <t>Oefenzinnen opstellen 1/2</t>
  </si>
  <si>
    <t>hulp met bug visual studio</t>
  </si>
  <si>
    <t>Review testdocumentatie</t>
  </si>
  <si>
    <t>Workshop C#</t>
  </si>
  <si>
    <t>Foute database weg</t>
  </si>
  <si>
    <t>Code verfijnen en werkend maken</t>
  </si>
  <si>
    <t>Oefenzinnen opstellen 2/2</t>
  </si>
  <si>
    <t>Makkelijke zinnen aan resource toegevoegd, en op de oefenpagina functies gemaakt om ze in willekeurige volgorde weer te geven.</t>
  </si>
  <si>
    <t>Bestuderen words per minute</t>
  </si>
  <si>
    <t>Ontewerpdocument aanmaken</t>
  </si>
  <si>
    <t>Git merge (fix database weg)</t>
  </si>
  <si>
    <t>Git merge (styledocument)</t>
  </si>
  <si>
    <t>Git merge (oefenzinnen selecteren)</t>
  </si>
  <si>
    <t>VS problemen oplossen</t>
  </si>
  <si>
    <t>Middelmatige en moeilijke zinnen aan resource toegevoegd, de oefenpagina functie aangepast om die nu ook te gebruiken</t>
  </si>
  <si>
    <t>De fout detectie van de user input toegevoegd. De textkleur is nu groen als het correct is en rood als het fout is.</t>
  </si>
  <si>
    <t>Code foutdetectie</t>
  </si>
  <si>
    <t>Feature foutdetectie</t>
  </si>
  <si>
    <t>Fouten teller toegevoegd, de zinsselectie verhuisd naar een apparte service bestand, een difficulty enum aangemaakt en de zinsselectie geintegeerd met de fout detectie.</t>
  </si>
  <si>
    <t>Gesprek voor deze sprint</t>
  </si>
  <si>
    <t>Code foutdetectie V2</t>
  </si>
  <si>
    <t>Dashboard styling verbeterd, en omgezet tot in het styledocument zodat er geen styling meer op de pagina staat. Het is veel schoner nu</t>
  </si>
  <si>
    <t>Code schoonmaken (clean architecture)</t>
  </si>
  <si>
    <t>Presentatieslides maken</t>
  </si>
  <si>
    <t>Feature typoefening</t>
  </si>
  <si>
    <t>Presentatieslides maken / voorbereiden</t>
  </si>
  <si>
    <t>Styling helemaal klaar, iconen toegevoegd, geen style meer op de pagina's zelf.</t>
  </si>
  <si>
    <t>Hulp clean architecture</t>
  </si>
  <si>
    <t>Git merge (styledocument deel 2)</t>
  </si>
  <si>
    <t>Header grotendeels af</t>
  </si>
  <si>
    <t>Geholpen visual studio werkend te krijgen</t>
  </si>
  <si>
    <t xml:space="preserve">Workshop gevolgd </t>
  </si>
  <si>
    <t>Hele dag op school gezeten om mijn laptop VS te fixen.</t>
  </si>
  <si>
    <t>Header compleet af</t>
  </si>
  <si>
    <t>Colour blind mode</t>
  </si>
  <si>
    <t>Vervolg Oefentimer maken</t>
  </si>
  <si>
    <t>Git merge (header)</t>
  </si>
  <si>
    <t>Inzichtelijk maken voortgang</t>
  </si>
  <si>
    <t>Teamoverleg dagelijks laatste twee weken met besprekingen over de voortgang, belemmeringen, problemen, oplossingen enz.</t>
  </si>
  <si>
    <t>Maken van oefentimer</t>
  </si>
  <si>
    <t>Hulp met git</t>
  </si>
  <si>
    <t>Oefentimer compleet getest</t>
  </si>
  <si>
    <t>Oplossen belemmeringen</t>
  </si>
  <si>
    <t>Originele foutieve code aangepast tot het huidige ontwerp</t>
  </si>
  <si>
    <t>Helpen merge conflict</t>
  </si>
  <si>
    <t>Oefenpagina testen en Testrapportage invullen</t>
  </si>
  <si>
    <t>Helpen met last-minute test en merge</t>
  </si>
  <si>
    <t>Git merge (timer van kai)</t>
  </si>
  <si>
    <t>V0.3.0</t>
  </si>
  <si>
    <t>Git merge (undo main tot dev)</t>
  </si>
  <si>
    <t>Gesprek voor volgende week</t>
  </si>
  <si>
    <t>Sprint 3</t>
  </si>
  <si>
    <t>Opstellen van een demo-presentatie Sprint 2</t>
  </si>
  <si>
    <t>Aanpassing en aanvulling van het Requirementsanalyse, het Functioneel ontwerp, het Technisch Ontwerp en het Testontwerp m.b.t. Sprint 3 (UC5-UC6)</t>
  </si>
  <si>
    <t>Problemen met git gedeeltelijk oplossen, juiste versie van project terughalen en apart zetten.</t>
  </si>
  <si>
    <t>Slides toevoegen, slides van anderen beter maken/oplossen</t>
  </si>
  <si>
    <t>Aanpassing en aanvulling de Requirementsanalyse aan de feedback en beoordeling Sprint 0-1</t>
  </si>
  <si>
    <t>Presentatie</t>
  </si>
  <si>
    <t>Problemen met git opgelost</t>
  </si>
  <si>
    <t>Aanpassen FO v1.3.0: aanvullingen  conform beoordeling en feedback, aanpassing domeinmodel en domein- en ERD-diagrammen met beschrijvingen.</t>
  </si>
  <si>
    <t>Onderzoek gedaan naar wat er nodig is voor agile in scrum toepassen. Workflow gemaakt, maar testen missen nog.</t>
  </si>
  <si>
    <t xml:space="preserve">Hulp met merge conflict </t>
  </si>
  <si>
    <t>Backspace niet laten werken en handeling maken voor dubbel space en andere symbolen. Code vervijnen. Feedback verwerken.</t>
  </si>
  <si>
    <t>Bijwerken Testontwerp v1.3.0 en weghalen van gebrekken n.a.v. beoordeling Sprint 0-1</t>
  </si>
  <si>
    <t>Herschrijven het Testontwerp n.a.v. beoordeling en feedback Sprint 0-1</t>
  </si>
  <si>
    <t>Voortgangsdocument, persoonlijk / teamsreprospectief klaar maken</t>
  </si>
  <si>
    <t>Opdracht uitzoeken en bespreken</t>
  </si>
  <si>
    <t>Evalueren testresultaat</t>
  </si>
  <si>
    <t>Aanpassen Testrapportage v1.3.0</t>
  </si>
  <si>
    <t>Geprobeerd light/dark mode te implementeren. Mislukt.</t>
  </si>
  <si>
    <t>Overleg met team</t>
  </si>
  <si>
    <t>Daily standup met Team en Po</t>
  </si>
  <si>
    <t>Toevoegen taken aan user story</t>
  </si>
  <si>
    <t>Trello naar Github overzetten</t>
  </si>
  <si>
    <t>Opstellen productafspraken en verwerken in een document</t>
  </si>
  <si>
    <t>Selecteren testsoort</t>
  </si>
  <si>
    <t>Unit tests selecteren en proberen te implementeren</t>
  </si>
  <si>
    <t>Project aan het opschonen en werken aan clean architecture</t>
  </si>
  <si>
    <t>Resultatenpagina maken 1/3</t>
  </si>
  <si>
    <t>Help teamlid bij tijdregistratie en scrumproces</t>
  </si>
  <si>
    <t>Kleurenblind modus</t>
  </si>
  <si>
    <t>Project verder opschonen en clean architecture klaar om te testen</t>
  </si>
  <si>
    <t>Clean architecture getest</t>
  </si>
  <si>
    <t>Sorteren github backlog</t>
  </si>
  <si>
    <t>Clean architecture v2 getest</t>
  </si>
  <si>
    <t>feature/no_backspace en feature/geen_symbolen gemerged met dev</t>
  </si>
  <si>
    <t>Uitleggen en oplossen wat mijn code doet</t>
  </si>
  <si>
    <t>Clean architecture afmaken</t>
  </si>
  <si>
    <t>Clean architecture naar develop</t>
  </si>
  <si>
    <t>Clean architecture merge testen</t>
  </si>
  <si>
    <t>Testproject en testen maken</t>
  </si>
  <si>
    <t>Uitvoeren geautomatiseerde test</t>
  </si>
  <si>
    <t>Pipeline tests</t>
  </si>
  <si>
    <t>Testen in pipeline</t>
  </si>
  <si>
    <t>Pipeline werkend krijgen</t>
  </si>
  <si>
    <t>Resultaten pagina maken 2/3</t>
  </si>
  <si>
    <t xml:space="preserve">DAILy standup   </t>
  </si>
  <si>
    <t>Hulp met resultaten pagina</t>
  </si>
  <si>
    <t>Voer oplossing door</t>
  </si>
  <si>
    <t>Resultaten pagina toevoegen</t>
  </si>
  <si>
    <t>Resultaten pagina maken 3/3</t>
  </si>
  <si>
    <t>Hulp met merge en tijdschrijf</t>
  </si>
  <si>
    <t>Testen resultaten</t>
  </si>
  <si>
    <t>Double spacing toevoegen</t>
  </si>
  <si>
    <t>Maken feature branch</t>
  </si>
  <si>
    <t>feature/double-spacing aangemaakt</t>
  </si>
  <si>
    <t>Negatief accuratie gefixt</t>
  </si>
  <si>
    <t>hotfix/negatief-accuratie aangemaakt</t>
  </si>
  <si>
    <t>feature/double-spacing met dev gemerged</t>
  </si>
  <si>
    <t>hotfix/negatief-accuratie met dev gemerged</t>
  </si>
  <si>
    <t>Opstellen geautomatiseerde test</t>
  </si>
  <si>
    <t>Kleurenblind modus testen</t>
  </si>
  <si>
    <t>Gesprek PO</t>
  </si>
  <si>
    <t>User stories opzetten voor UC3</t>
  </si>
  <si>
    <t>Doorlezen functioneel ontwerp</t>
  </si>
  <si>
    <t>Noteren actiepunten en uitbreiden in een document.</t>
  </si>
  <si>
    <t>User stories sorteren en verbeteren</t>
  </si>
  <si>
    <t>ziek</t>
  </si>
  <si>
    <t>beste wpm gemaakt 1/2</t>
  </si>
  <si>
    <t>Toevoegen verschillende user stories aan Epic's</t>
  </si>
  <si>
    <t>Reviewen werk en aanpassen</t>
  </si>
  <si>
    <t>Uitvoeren na merge</t>
  </si>
  <si>
    <t>.gitignore aanpassen (teveel local files)</t>
  </si>
  <si>
    <t>Hulp met merge</t>
  </si>
  <si>
    <t>beste wpm gemaakt 2/2</t>
  </si>
  <si>
    <t>selectie moeilijkheid gemaakt</t>
  </si>
  <si>
    <t>Hulp met merge conflict</t>
  </si>
  <si>
    <t xml:space="preserve">Grotere tekst </t>
  </si>
  <si>
    <t>Samen naar code kijken</t>
  </si>
  <si>
    <t>Handmatige test</t>
  </si>
  <si>
    <t>Geautomatiseerde test uitvoeren</t>
  </si>
  <si>
    <t>Merge conflict oplossen grotere tekst</t>
  </si>
  <si>
    <t xml:space="preserve">Daily standup   </t>
  </si>
  <si>
    <t>Uitleggen nieuwe gedeelte van mijn code</t>
  </si>
  <si>
    <t>Toevoegen taken userstory</t>
  </si>
  <si>
    <t>TO aangepast om .txt file opslag te omvatten</t>
  </si>
  <si>
    <t>Project Document aanmaken</t>
  </si>
  <si>
    <t>Resultaten invoeren in rapportage</t>
  </si>
  <si>
    <t>Gehele project gechecked op engelse tekst ipv nederlandse tekst, gehele eigen code reviewed</t>
  </si>
  <si>
    <t>Meerdere tests uitgevoerd</t>
  </si>
  <si>
    <t>Fout gespot in oefenpagina</t>
  </si>
  <si>
    <t>Fout gefixed ivm moeilijkheidsselectie</t>
  </si>
  <si>
    <t>Fout gefixed ivm kleurenblindmodus</t>
  </si>
  <si>
    <t>Video van applicatie gemaakt</t>
  </si>
  <si>
    <t>Opstellen van Sprint 3 inlevering</t>
  </si>
  <si>
    <t>Laatste test voor het mergen van develop naar main</t>
  </si>
  <si>
    <t>hotfix kleurenblindmodus aangemaakt</t>
  </si>
  <si>
    <t>hotfix moeilijkheids selectie aangemaakt</t>
  </si>
  <si>
    <t>Detecteren mogelijke gebreken in requirements</t>
  </si>
  <si>
    <t>Kijken of .txt file al in requirements stond indien nodig toevoegen</t>
  </si>
  <si>
    <t>.txt file aan technisch ontwerp toegevoegd</t>
  </si>
  <si>
    <t>User stories opzetten uc3/4</t>
  </si>
  <si>
    <t>Laatste test bevindingen doorgevoerd naar testdocument</t>
  </si>
  <si>
    <t>Manage &amp; Control</t>
  </si>
  <si>
    <t>Opzetten testen in pipeline</t>
  </si>
  <si>
    <t>Structureer project</t>
  </si>
  <si>
    <t>Toepassen taalconcepten</t>
  </si>
  <si>
    <t>Beredeneer keuze taalconcept</t>
  </si>
  <si>
    <t>Kies oplossing</t>
  </si>
  <si>
    <t>Ontwerpen</t>
  </si>
  <si>
    <t>Toepassen modelleertechnieken</t>
  </si>
  <si>
    <t>Presenteren aanbevelingen</t>
  </si>
  <si>
    <t>Analyseren</t>
  </si>
  <si>
    <t>Bepalen haalbaarheid requirements</t>
  </si>
  <si>
    <t>Reviewen requirements</t>
  </si>
  <si>
    <t>Aangeven grenzen</t>
  </si>
  <si>
    <t>Opstellen productafspraken</t>
  </si>
  <si>
    <t>In kaart brengen afhankelijkheden</t>
  </si>
  <si>
    <t>Toevoegen acceptatiecriteria</t>
  </si>
  <si>
    <t>Uiten belemmeringen</t>
  </si>
  <si>
    <t>Ophalen feedback</t>
  </si>
  <si>
    <t>Kiezen werkvorm</t>
  </si>
  <si>
    <t>Gebruiken teststrategie</t>
  </si>
  <si>
    <t>Verdeling over proces stappen</t>
  </si>
  <si>
    <t>Verdeling over HBO-I activiteiten</t>
  </si>
  <si>
    <t>Naam en Sprint</t>
  </si>
  <si>
    <t>Sum of Uren</t>
  </si>
  <si>
    <t>(leeg)</t>
  </si>
  <si>
    <t>Eindtotaal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</si>
</sst>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dd/mm/yyyy;@"/>
  </numFmts>
  <fonts count="1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11"/>
      <color theme="1"/>
      <name val="Aptos"/>
      <family val="2"/>
    </font>
    <font>
      <sz val="10"/>
      <color theme="1"/>
      <name val="Aptos"/>
      <family val="2"/>
    </font>
    <font>
      <b/>
      <sz val="13"/>
      <color theme="1"/>
      <name val="Aptos"/>
      <family val="2"/>
    </font>
    <font>
      <b/>
      <sz val="11"/>
      <color theme="0"/>
      <name val="Aptos"/>
      <family val="2"/>
    </font>
    <font>
      <sz val="11"/>
      <color theme="1"/>
      <name val="Aptos"/>
    </font>
    <font>
      <sz val="11"/>
      <color rgb="FF000000"/>
      <name val="Aptos"/>
      <family val="2"/>
    </font>
    <font>
      <sz val="11"/>
      <color rgb="FF000000"/>
      <name val="Aptos"/>
      <charset val="1"/>
    </font>
    <font>
      <sz val="11"/>
      <color rgb="FF000000"/>
      <name val="Aptos"/>
    </font>
    <font>
      <sz val="11"/>
      <color rgb="FF000000"/>
      <name val="Aptos Display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94DCF8"/>
        <bgColor rgb="FF94DCF8"/>
      </patternFill>
    </fill>
    <fill>
      <patternFill patternType="solid">
        <fgColor rgb="FFCAEDFB"/>
        <bgColor rgb="FFCAEDFB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3" fillId="0" borderId="4" applyNumberFormat="0" applyFill="0" applyAlignment="0" applyProtection="0"/>
    <xf numFmtId="0" fontId="4" fillId="0" borderId="5" applyNumberFormat="0" applyFill="0" applyAlignment="0" applyProtection="0"/>
    <xf numFmtId="0" fontId="2" fillId="6" borderId="0" applyNumberFormat="0" applyBorder="0" applyAlignment="0" applyProtection="0"/>
  </cellStyleXfs>
  <cellXfs count="143">
    <xf numFmtId="0" fontId="0" fillId="0" borderId="0" xfId="0"/>
    <xf numFmtId="0" fontId="6" fillId="6" borderId="5" xfId="3" applyFont="1" applyFill="1" applyAlignment="1"/>
    <xf numFmtId="0" fontId="7" fillId="0" borderId="0" xfId="0" applyFont="1"/>
    <xf numFmtId="0" fontId="6" fillId="6" borderId="5" xfId="3" applyFont="1" applyFill="1"/>
    <xf numFmtId="0" fontId="8" fillId="0" borderId="0" xfId="1" applyFont="1"/>
    <xf numFmtId="0" fontId="7" fillId="5" borderId="0" xfId="0" applyFont="1" applyFill="1"/>
    <xf numFmtId="0" fontId="7" fillId="0" borderId="0" xfId="0" applyFont="1" applyAlignment="1">
      <alignment wrapText="1"/>
    </xf>
    <xf numFmtId="14" fontId="7" fillId="0" borderId="0" xfId="0" applyNumberFormat="1" applyFont="1"/>
    <xf numFmtId="2" fontId="7" fillId="0" borderId="0" xfId="0" applyNumberFormat="1" applyFont="1"/>
    <xf numFmtId="0" fontId="7" fillId="4" borderId="0" xfId="0" applyFont="1" applyFill="1"/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/>
    <xf numFmtId="0" fontId="10" fillId="0" borderId="1" xfId="0" applyFont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10" fillId="3" borderId="0" xfId="0" applyFont="1" applyFill="1" applyAlignment="1">
      <alignment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wrapText="1"/>
    </xf>
    <xf numFmtId="0" fontId="2" fillId="6" borderId="5" xfId="4" applyBorder="1"/>
    <xf numFmtId="0" fontId="11" fillId="6" borderId="5" xfId="4" applyFont="1" applyBorder="1"/>
    <xf numFmtId="0" fontId="9" fillId="0" borderId="0" xfId="0" applyFont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3" xfId="0" applyBorder="1" applyAlignment="1">
      <alignment vertical="top"/>
    </xf>
    <xf numFmtId="0" fontId="13" fillId="0" borderId="0" xfId="0" pivotButton="1" applyFont="1"/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indent="1"/>
    </xf>
    <xf numFmtId="0" fontId="13" fillId="0" borderId="0" xfId="0" applyFont="1" applyAlignment="1">
      <alignment horizontal="left" indent="2"/>
    </xf>
    <xf numFmtId="0" fontId="12" fillId="8" borderId="6" xfId="0" applyFont="1" applyFill="1" applyBorder="1"/>
    <xf numFmtId="0" fontId="7" fillId="9" borderId="6" xfId="0" applyFont="1" applyFill="1" applyBorder="1"/>
    <xf numFmtId="0" fontId="14" fillId="10" borderId="7" xfId="0" applyFont="1" applyFill="1" applyBorder="1"/>
    <xf numFmtId="0" fontId="14" fillId="10" borderId="8" xfId="0" applyFont="1" applyFill="1" applyBorder="1"/>
    <xf numFmtId="0" fontId="14" fillId="10" borderId="8" xfId="0" applyFont="1" applyFill="1" applyBorder="1" applyAlignment="1">
      <alignment wrapText="1"/>
    </xf>
    <xf numFmtId="14" fontId="14" fillId="10" borderId="8" xfId="0" applyNumberFormat="1" applyFont="1" applyFill="1" applyBorder="1"/>
    <xf numFmtId="0" fontId="14" fillId="11" borderId="7" xfId="0" applyFont="1" applyFill="1" applyBorder="1"/>
    <xf numFmtId="0" fontId="14" fillId="11" borderId="8" xfId="0" applyFont="1" applyFill="1" applyBorder="1"/>
    <xf numFmtId="0" fontId="14" fillId="11" borderId="8" xfId="0" applyFont="1" applyFill="1" applyBorder="1" applyAlignment="1">
      <alignment wrapText="1"/>
    </xf>
    <xf numFmtId="14" fontId="14" fillId="11" borderId="8" xfId="0" applyNumberFormat="1" applyFont="1" applyFill="1" applyBorder="1"/>
    <xf numFmtId="0" fontId="14" fillId="10" borderId="0" xfId="0" applyFont="1" applyFill="1"/>
    <xf numFmtId="0" fontId="7" fillId="0" borderId="8" xfId="0" applyFont="1" applyBorder="1"/>
    <xf numFmtId="14" fontId="7" fillId="0" borderId="8" xfId="0" applyNumberFormat="1" applyFont="1" applyBorder="1"/>
    <xf numFmtId="14" fontId="14" fillId="11" borderId="0" xfId="0" applyNumberFormat="1" applyFont="1" applyFill="1"/>
    <xf numFmtId="0" fontId="14" fillId="10" borderId="0" xfId="0" applyFont="1" applyFill="1" applyAlignment="1">
      <alignment wrapText="1"/>
    </xf>
    <xf numFmtId="0" fontId="7" fillId="0" borderId="8" xfId="0" applyFont="1" applyBorder="1" applyAlignment="1">
      <alignment wrapText="1"/>
    </xf>
    <xf numFmtId="14" fontId="15" fillId="0" borderId="0" xfId="0" applyNumberFormat="1" applyFont="1"/>
    <xf numFmtId="164" fontId="7" fillId="0" borderId="0" xfId="0" applyNumberFormat="1" applyFont="1"/>
    <xf numFmtId="14" fontId="13" fillId="0" borderId="0" xfId="0" applyNumberFormat="1" applyFont="1"/>
    <xf numFmtId="2" fontId="7" fillId="0" borderId="0" xfId="0" applyNumberFormat="1" applyFont="1" applyAlignment="1">
      <alignment horizontal="right"/>
    </xf>
    <xf numFmtId="0" fontId="7" fillId="13" borderId="0" xfId="0" applyFont="1" applyFill="1"/>
    <xf numFmtId="0" fontId="7" fillId="0" borderId="11" xfId="0" applyFont="1" applyBorder="1"/>
    <xf numFmtId="0" fontId="7" fillId="12" borderId="0" xfId="0" applyFont="1" applyFill="1"/>
    <xf numFmtId="0" fontId="7" fillId="0" borderId="10" xfId="0" applyFont="1" applyBorder="1"/>
    <xf numFmtId="0" fontId="7" fillId="13" borderId="0" xfId="0" applyFont="1" applyFill="1" applyAlignment="1">
      <alignment wrapText="1"/>
    </xf>
    <xf numFmtId="0" fontId="7" fillId="0" borderId="10" xfId="0" applyFont="1" applyBorder="1" applyAlignment="1">
      <alignment wrapText="1"/>
    </xf>
    <xf numFmtId="0" fontId="7" fillId="12" borderId="0" xfId="0" applyFont="1" applyFill="1" applyAlignment="1">
      <alignment wrapText="1"/>
    </xf>
    <xf numFmtId="2" fontId="7" fillId="12" borderId="0" xfId="0" applyNumberFormat="1" applyFont="1" applyFill="1"/>
    <xf numFmtId="2" fontId="7" fillId="0" borderId="10" xfId="0" applyNumberFormat="1" applyFont="1" applyBorder="1"/>
    <xf numFmtId="0" fontId="13" fillId="0" borderId="6" xfId="0" applyFont="1" applyBorder="1"/>
    <xf numFmtId="0" fontId="7" fillId="0" borderId="7" xfId="0" applyFont="1" applyBorder="1"/>
    <xf numFmtId="0" fontId="14" fillId="11" borderId="0" xfId="0" applyFont="1" applyFill="1"/>
    <xf numFmtId="0" fontId="14" fillId="11" borderId="0" xfId="0" applyFont="1" applyFill="1" applyAlignment="1">
      <alignment wrapText="1"/>
    </xf>
    <xf numFmtId="14" fontId="14" fillId="10" borderId="0" xfId="0" applyNumberFormat="1" applyFont="1" applyFill="1"/>
    <xf numFmtId="2" fontId="7" fillId="0" borderId="8" xfId="0" applyNumberFormat="1" applyFont="1" applyBorder="1"/>
    <xf numFmtId="14" fontId="14" fillId="11" borderId="0" xfId="0" applyNumberFormat="1" applyFont="1" applyFill="1" applyAlignment="1">
      <alignment wrapText="1"/>
    </xf>
    <xf numFmtId="14" fontId="13" fillId="0" borderId="8" xfId="0" applyNumberFormat="1" applyFont="1" applyBorder="1"/>
    <xf numFmtId="0" fontId="7" fillId="9" borderId="11" xfId="0" applyFont="1" applyFill="1" applyBorder="1"/>
    <xf numFmtId="0" fontId="7" fillId="9" borderId="10" xfId="0" applyFont="1" applyFill="1" applyBorder="1"/>
    <xf numFmtId="0" fontId="7" fillId="9" borderId="10" xfId="0" applyFont="1" applyFill="1" applyBorder="1" applyAlignment="1">
      <alignment wrapText="1"/>
    </xf>
    <xf numFmtId="14" fontId="7" fillId="9" borderId="10" xfId="0" applyNumberFormat="1" applyFont="1" applyFill="1" applyBorder="1"/>
    <xf numFmtId="2" fontId="7" fillId="9" borderId="10" xfId="0" applyNumberFormat="1" applyFont="1" applyFill="1" applyBorder="1"/>
    <xf numFmtId="0" fontId="7" fillId="12" borderId="11" xfId="0" applyFont="1" applyFill="1" applyBorder="1"/>
    <xf numFmtId="0" fontId="7" fillId="12" borderId="10" xfId="0" applyFont="1" applyFill="1" applyBorder="1"/>
    <xf numFmtId="0" fontId="7" fillId="12" borderId="10" xfId="0" applyFont="1" applyFill="1" applyBorder="1" applyAlignment="1">
      <alignment wrapText="1"/>
    </xf>
    <xf numFmtId="14" fontId="7" fillId="12" borderId="10" xfId="0" applyNumberFormat="1" applyFont="1" applyFill="1" applyBorder="1"/>
    <xf numFmtId="2" fontId="7" fillId="12" borderId="10" xfId="0" applyNumberFormat="1" applyFont="1" applyFill="1" applyBorder="1"/>
    <xf numFmtId="14" fontId="13" fillId="9" borderId="10" xfId="0" applyNumberFormat="1" applyFont="1" applyFill="1" applyBorder="1"/>
    <xf numFmtId="14" fontId="13" fillId="12" borderId="10" xfId="0" applyNumberFormat="1" applyFont="1" applyFill="1" applyBorder="1"/>
    <xf numFmtId="0" fontId="7" fillId="4" borderId="12" xfId="0" applyFont="1" applyFill="1" applyBorder="1"/>
    <xf numFmtId="2" fontId="13" fillId="0" borderId="0" xfId="0" applyNumberFormat="1" applyFont="1"/>
    <xf numFmtId="0" fontId="13" fillId="0" borderId="0" xfId="0" applyFont="1" applyAlignment="1">
      <alignment wrapText="1"/>
    </xf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0" fillId="2" borderId="0" xfId="0" applyFont="1" applyFill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" xfId="0" applyFont="1" applyBorder="1"/>
    <xf numFmtId="165" fontId="7" fillId="0" borderId="0" xfId="0" applyNumberFormat="1" applyFont="1"/>
    <xf numFmtId="0" fontId="7" fillId="4" borderId="9" xfId="0" applyFont="1" applyFill="1" applyBorder="1"/>
    <xf numFmtId="0" fontId="13" fillId="4" borderId="0" xfId="0" applyFont="1" applyFill="1"/>
    <xf numFmtId="0" fontId="13" fillId="4" borderId="9" xfId="0" applyFont="1" applyFill="1" applyBorder="1"/>
    <xf numFmtId="0" fontId="16" fillId="10" borderId="0" xfId="0" applyFont="1" applyFill="1" applyAlignment="1">
      <alignment wrapText="1"/>
    </xf>
    <xf numFmtId="0" fontId="16" fillId="10" borderId="0" xfId="0" applyFont="1" applyFill="1"/>
    <xf numFmtId="14" fontId="16" fillId="10" borderId="0" xfId="0" applyNumberFormat="1" applyFont="1" applyFill="1"/>
    <xf numFmtId="0" fontId="16" fillId="11" borderId="0" xfId="0" applyFont="1" applyFill="1"/>
    <xf numFmtId="0" fontId="16" fillId="11" borderId="0" xfId="0" applyFont="1" applyFill="1" applyAlignment="1">
      <alignment wrapText="1"/>
    </xf>
    <xf numFmtId="0" fontId="7" fillId="4" borderId="13" xfId="0" applyFont="1" applyFill="1" applyBorder="1"/>
    <xf numFmtId="0" fontId="15" fillId="0" borderId="0" xfId="0" applyFont="1"/>
    <xf numFmtId="164" fontId="7" fillId="11" borderId="0" xfId="0" applyNumberFormat="1" applyFont="1" applyFill="1"/>
    <xf numFmtId="0" fontId="7" fillId="9" borderId="14" xfId="0" applyFont="1" applyFill="1" applyBorder="1"/>
    <xf numFmtId="0" fontId="7" fillId="9" borderId="15" xfId="0" applyFont="1" applyFill="1" applyBorder="1"/>
    <xf numFmtId="0" fontId="7" fillId="9" borderId="15" xfId="0" applyFont="1" applyFill="1" applyBorder="1" applyAlignment="1">
      <alignment wrapText="1"/>
    </xf>
    <xf numFmtId="164" fontId="7" fillId="9" borderId="15" xfId="0" applyNumberFormat="1" applyFont="1" applyFill="1" applyBorder="1"/>
    <xf numFmtId="2" fontId="7" fillId="9" borderId="15" xfId="0" applyNumberFormat="1" applyFont="1" applyFill="1" applyBorder="1"/>
    <xf numFmtId="0" fontId="7" fillId="0" borderId="16" xfId="0" applyFont="1" applyBorder="1"/>
    <xf numFmtId="0" fontId="7" fillId="0" borderId="17" xfId="0" applyFont="1" applyBorder="1"/>
    <xf numFmtId="0" fontId="7" fillId="0" borderId="17" xfId="0" applyFont="1" applyBorder="1" applyAlignment="1">
      <alignment wrapText="1"/>
    </xf>
    <xf numFmtId="164" fontId="7" fillId="0" borderId="17" xfId="0" applyNumberFormat="1" applyFont="1" applyBorder="1"/>
    <xf numFmtId="2" fontId="7" fillId="0" borderId="17" xfId="0" applyNumberFormat="1" applyFont="1" applyBorder="1"/>
    <xf numFmtId="14" fontId="7" fillId="0" borderId="0" xfId="0" applyNumberFormat="1" applyFont="1" applyAlignment="1">
      <alignment wrapText="1"/>
    </xf>
    <xf numFmtId="0" fontId="5" fillId="7" borderId="4" xfId="2" applyFont="1" applyFill="1" applyAlignment="1">
      <alignment horizontal="center"/>
    </xf>
    <xf numFmtId="0" fontId="7" fillId="0" borderId="14" xfId="0" applyFont="1" applyBorder="1"/>
    <xf numFmtId="0" fontId="7" fillId="9" borderId="0" xfId="0" applyFont="1" applyFill="1"/>
    <xf numFmtId="0" fontId="7" fillId="12" borderId="7" xfId="0" applyFont="1" applyFill="1" applyBorder="1"/>
    <xf numFmtId="0" fontId="7" fillId="12" borderId="8" xfId="0" applyFont="1" applyFill="1" applyBorder="1"/>
    <xf numFmtId="0" fontId="7" fillId="0" borderId="15" xfId="0" applyFont="1" applyBorder="1"/>
    <xf numFmtId="0" fontId="7" fillId="0" borderId="15" xfId="0" applyFont="1" applyBorder="1" applyAlignment="1">
      <alignment wrapText="1"/>
    </xf>
    <xf numFmtId="0" fontId="7" fillId="9" borderId="0" xfId="0" applyFont="1" applyFill="1" applyAlignment="1">
      <alignment wrapText="1"/>
    </xf>
    <xf numFmtId="0" fontId="7" fillId="12" borderId="8" xfId="0" applyFont="1" applyFill="1" applyBorder="1" applyAlignment="1">
      <alignment wrapText="1"/>
    </xf>
    <xf numFmtId="164" fontId="7" fillId="12" borderId="0" xfId="0" applyNumberFormat="1" applyFont="1" applyFill="1"/>
    <xf numFmtId="164" fontId="7" fillId="0" borderId="15" xfId="0" applyNumberFormat="1" applyFont="1" applyBorder="1"/>
    <xf numFmtId="14" fontId="7" fillId="12" borderId="0" xfId="0" applyNumberFormat="1" applyFont="1" applyFill="1"/>
    <xf numFmtId="14" fontId="7" fillId="0" borderId="10" xfId="0" applyNumberFormat="1" applyFont="1" applyBorder="1"/>
    <xf numFmtId="164" fontId="7" fillId="9" borderId="0" xfId="0" applyNumberFormat="1" applyFont="1" applyFill="1"/>
    <xf numFmtId="164" fontId="7" fillId="12" borderId="8" xfId="0" applyNumberFormat="1" applyFont="1" applyFill="1" applyBorder="1"/>
    <xf numFmtId="2" fontId="7" fillId="0" borderId="15" xfId="0" applyNumberFormat="1" applyFont="1" applyBorder="1"/>
    <xf numFmtId="2" fontId="7" fillId="9" borderId="0" xfId="0" applyNumberFormat="1" applyFont="1" applyFill="1"/>
    <xf numFmtId="2" fontId="7" fillId="12" borderId="8" xfId="0" applyNumberFormat="1" applyFont="1" applyFill="1" applyBorder="1"/>
    <xf numFmtId="0" fontId="13" fillId="9" borderId="0" xfId="0" applyFont="1" applyFill="1"/>
    <xf numFmtId="0" fontId="13" fillId="12" borderId="0" xfId="0" applyFont="1" applyFill="1"/>
    <xf numFmtId="0" fontId="16" fillId="0" borderId="10" xfId="0" applyFont="1" applyBorder="1" applyAlignment="1">
      <alignment vertical="top"/>
    </xf>
    <xf numFmtId="0" fontId="13" fillId="9" borderId="0" xfId="0" applyFont="1" applyFill="1" applyAlignment="1">
      <alignment wrapText="1"/>
    </xf>
    <xf numFmtId="0" fontId="13" fillId="12" borderId="0" xfId="0" applyFont="1" applyFill="1" applyAlignment="1">
      <alignment wrapText="1"/>
    </xf>
    <xf numFmtId="0" fontId="15" fillId="0" borderId="15" xfId="0" applyFont="1" applyBorder="1"/>
    <xf numFmtId="0" fontId="0" fillId="0" borderId="10" xfId="0" applyBorder="1" applyAlignment="1">
      <alignment vertical="top"/>
    </xf>
    <xf numFmtId="164" fontId="13" fillId="9" borderId="0" xfId="0" applyNumberFormat="1" applyFont="1" applyFill="1"/>
    <xf numFmtId="14" fontId="7" fillId="0" borderId="15" xfId="0" applyNumberFormat="1" applyFont="1" applyBorder="1"/>
    <xf numFmtId="164" fontId="7" fillId="0" borderId="8" xfId="0" applyNumberFormat="1" applyFont="1" applyBorder="1"/>
    <xf numFmtId="14" fontId="7" fillId="12" borderId="8" xfId="0" applyNumberFormat="1" applyFont="1" applyFill="1" applyBorder="1"/>
    <xf numFmtId="14" fontId="13" fillId="12" borderId="0" xfId="0" applyNumberFormat="1" applyFont="1" applyFill="1"/>
    <xf numFmtId="14" fontId="14" fillId="11" borderId="8" xfId="0" applyNumberFormat="1" applyFont="1" applyFill="1" applyBorder="1" applyAlignment="1">
      <alignment wrapText="1"/>
    </xf>
    <xf numFmtId="2" fontId="13" fillId="9" borderId="0" xfId="0" applyNumberFormat="1" applyFont="1" applyFill="1"/>
    <xf numFmtId="2" fontId="13" fillId="12" borderId="0" xfId="0" applyNumberFormat="1" applyFont="1" applyFill="1"/>
    <xf numFmtId="0" fontId="16" fillId="0" borderId="0" xfId="0" applyFont="1" applyAlignment="1">
      <alignment wrapText="1"/>
    </xf>
  </cellXfs>
  <cellStyles count="5">
    <cellStyle name="20% - Accent1" xfId="4" builtinId="30"/>
    <cellStyle name="Hyperlink" xfId="1" builtinId="8"/>
    <cellStyle name="Kop 1" xfId="2" builtinId="16"/>
    <cellStyle name="Kop 2" xfId="3" builtinId="17"/>
    <cellStyle name="Standaard" xfId="0" builtinId="0"/>
  </cellStyles>
  <dxfs count="40">
    <dxf>
      <font>
        <strike val="0"/>
        <outline val="0"/>
        <shadow val="0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vertAlign val="baseline"/>
        <sz val="10"/>
        <name val="Aptos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Aptos"/>
        <family val="2"/>
        <scheme val="none"/>
      </font>
    </dxf>
    <dxf>
      <font>
        <strike val="0"/>
        <outline val="0"/>
        <shadow val="0"/>
        <vertAlign val="baseline"/>
        <sz val="10"/>
        <name val="Aptos"/>
        <family val="2"/>
        <scheme val="none"/>
      </font>
    </dxf>
    <dxf>
      <font>
        <strike val="0"/>
        <outline val="0"/>
        <shadow val="0"/>
        <vertAlign val="baseline"/>
        <sz val="10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yyyy/mm/dd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0.783417592589" createdVersion="8" refreshedVersion="8" minRefreshableVersion="3" recordCount="861" xr:uid="{4ABFEEE8-3AE0-40B1-8CFE-C134C7CA893C}">
  <cacheSource type="worksheet">
    <worksheetSource name="Timeform"/>
  </cacheSource>
  <cacheFields count="8">
    <cacheField name="Naam" numFmtId="0">
      <sharedItems containsBlank="1" count="13">
        <s v="Edward"/>
        <s v="Tim"/>
        <s v="Kai"/>
        <s v="Nicky"/>
        <s v="Rick"/>
        <m/>
        <s v="Edward " u="1"/>
        <s v="Ernst" u="1"/>
        <s v="Martijn" u="1"/>
        <s v="Maarten" u="1"/>
        <s v="Ward" u="1"/>
        <s v="Eltjo" u="1"/>
        <s v="Thomas" u="1"/>
      </sharedItems>
    </cacheField>
    <cacheField name="Proces" numFmtId="0">
      <sharedItems containsBlank="1" count="12">
        <s v="Requirementsanalyseproces"/>
        <s v="Scrumproces"/>
        <s v="Beheerproces"/>
        <s v="Ontwerpproces"/>
        <s v="Testproces"/>
        <s v="Implementatieproces"/>
        <s v="nvt"/>
        <s v="Adviseren"/>
        <m/>
        <s v="Realiseren" u="1"/>
        <s v="Overig" u="1"/>
        <s v="SCRUM_proces" u="1"/>
      </sharedItems>
    </cacheField>
    <cacheField name="Vaardigheid" numFmtId="0">
      <sharedItems containsBlank="1"/>
    </cacheField>
    <cacheField name="Omschrijving werkzaamheden" numFmtId="0">
      <sharedItems containsBlank="1"/>
    </cacheField>
    <cacheField name="Datum" numFmtId="0">
      <sharedItems containsNonDate="0" containsDate="1" containsString="0" containsBlank="1" minDate="2025-11-10T00:00:00" maxDate="2025-12-20T00:00:00"/>
    </cacheField>
    <cacheField name="Uren" numFmtId="0">
      <sharedItems containsString="0" containsBlank="1" containsNumber="1" minValue="0" maxValue="10"/>
    </cacheField>
    <cacheField name="Sprint nr" numFmtId="0">
      <sharedItems containsBlank="1" containsMixedTypes="1" containsNumber="1" containsInteger="1" minValue="1" maxValue="9" count="12">
        <s v="Sprint 0"/>
        <s v="Sprint 1"/>
        <s v="Sprint 2"/>
        <s v="Sprint 0-1"/>
        <s v="Sprint 3"/>
        <m/>
        <n v="1" u="1"/>
        <n v="2" u="1"/>
        <n v="6" u="1"/>
        <n v="7" u="1"/>
        <n v="8" u="1"/>
        <n v="9" u="1"/>
      </sharedItems>
    </cacheField>
    <cacheField name="Activiteit" numFmtId="0">
      <sharedItems containsMixedTypes="1" containsNumber="1" containsInteger="1" minValue="0" maxValue="0" count="7">
        <s v="Analyseren"/>
        <s v="Manage &amp; Control"/>
        <s v="Realiseren"/>
        <s v="Ontwerpen"/>
        <s v="Adviseren"/>
        <e v="#N/A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1">
  <r>
    <x v="0"/>
    <x v="0"/>
    <s v="Bestuderen  probleemstelling"/>
    <s v="Analyse projectomschrijving en de oplossingsmogelijkheden"/>
    <d v="2025-11-10T00:00:00"/>
    <n v="0.5"/>
    <x v="0"/>
    <x v="0"/>
  </r>
  <r>
    <x v="0"/>
    <x v="0"/>
    <s v="Beschrijven stakeholders"/>
    <s v="Analyse van de users en hun behoeftes &amp; de stakeholders"/>
    <d v="2025-11-10T00:00:00"/>
    <n v="1"/>
    <x v="0"/>
    <x v="0"/>
  </r>
  <r>
    <x v="0"/>
    <x v="0"/>
    <s v="Uitvragen requirements"/>
    <s v="Opstellen van requirements"/>
    <d v="2025-11-10T00:00:00"/>
    <n v="0.5"/>
    <x v="0"/>
    <x v="0"/>
  </r>
  <r>
    <x v="0"/>
    <x v="0"/>
    <s v="Prioriteren requirements"/>
    <s v="Opstellen van requirements"/>
    <d v="2025-11-10T00:00:00"/>
    <n v="0.5"/>
    <x v="0"/>
    <x v="0"/>
  </r>
  <r>
    <x v="0"/>
    <x v="0"/>
    <s v="Vastleggen requirements"/>
    <s v="Opstellen van requirements"/>
    <d v="2025-11-10T00:00:00"/>
    <n v="1"/>
    <x v="0"/>
    <x v="0"/>
  </r>
  <r>
    <x v="0"/>
    <x v="0"/>
    <s v="Opsplitsen functionele en non-functionele requirements"/>
    <s v="Opstellen van requirements"/>
    <d v="2025-11-10T00:00:00"/>
    <n v="0.5"/>
    <x v="0"/>
    <x v="0"/>
  </r>
  <r>
    <x v="0"/>
    <x v="0"/>
    <s v="Maken domeinmodel"/>
    <s v="Opstellen van het Functioneel ontwerp"/>
    <d v="2025-11-10T00:00:00"/>
    <n v="1.5"/>
    <x v="0"/>
    <x v="0"/>
  </r>
  <r>
    <x v="1"/>
    <x v="1"/>
    <s v="Communicatie opzetten"/>
    <s v="Discord maken, inrichten, iedereen toevoegen"/>
    <d v="2025-11-10T00:00:00"/>
    <n v="0.5"/>
    <x v="0"/>
    <x v="1"/>
  </r>
  <r>
    <x v="1"/>
    <x v="1"/>
    <s v="Aangeven behoeften"/>
    <s v="Scrumworkshop gevolgd"/>
    <d v="2025-11-11T00:00:00"/>
    <n v="3"/>
    <x v="0"/>
    <x v="1"/>
  </r>
  <r>
    <x v="0"/>
    <x v="1"/>
    <s v="Aangeven behoeften"/>
    <s v="Scrumworkshop gevolgd"/>
    <d v="2025-11-11T00:00:00"/>
    <n v="3"/>
    <x v="0"/>
    <x v="1"/>
  </r>
  <r>
    <x v="2"/>
    <x v="1"/>
    <s v="Aangeven behoeften"/>
    <s v="Scrumworkshop gevolgd"/>
    <d v="2025-11-11T00:00:00"/>
    <n v="3"/>
    <x v="0"/>
    <x v="1"/>
  </r>
  <r>
    <x v="1"/>
    <x v="2"/>
    <s v="Fork maken"/>
    <s v="Git aangemaakt"/>
    <d v="2025-11-11T00:00:00"/>
    <n v="1"/>
    <x v="0"/>
    <x v="1"/>
  </r>
  <r>
    <x v="1"/>
    <x v="1"/>
    <s v="Bepalen werklast"/>
    <s v="Onderzoek en vragen gesteld om opdracht duidelijker te maken voor de groep."/>
    <d v="2025-11-11T00:00:00"/>
    <n v="2"/>
    <x v="0"/>
    <x v="0"/>
  </r>
  <r>
    <x v="1"/>
    <x v="1"/>
    <s v="Reviewen werk"/>
    <s v="Al door requirements en functioneel ontwerp gekeken, feedback wacht tot morgen met product owner."/>
    <d v="2025-11-11T00:00:00"/>
    <n v="0.75"/>
    <x v="0"/>
    <x v="2"/>
  </r>
  <r>
    <x v="0"/>
    <x v="0"/>
    <s v="Organiseren requirements"/>
    <s v="Ontwerp wireframe schermen"/>
    <d v="2025-11-11T00:00:00"/>
    <n v="2"/>
    <x v="0"/>
    <x v="1"/>
  </r>
  <r>
    <x v="0"/>
    <x v="3"/>
    <s v="Uitleg werking systeem"/>
    <s v="Concept van het Technisch Ontwerp opgesteld"/>
    <d v="2025-11-11T00:00:00"/>
    <n v="2"/>
    <x v="0"/>
    <x v="3"/>
  </r>
  <r>
    <x v="1"/>
    <x v="2"/>
    <s v="Inrichten .gitignore"/>
    <s v="Gitignore gemaakt en nagekeken"/>
    <d v="2025-11-11T00:00:00"/>
    <n v="0.5"/>
    <x v="0"/>
    <x v="1"/>
  </r>
  <r>
    <x v="1"/>
    <x v="2"/>
    <s v="Kiezen branchingstrategie"/>
    <s v="Github flow"/>
    <d v="2025-11-11T00:00:00"/>
    <n v="0.25"/>
    <x v="0"/>
    <x v="2"/>
  </r>
  <r>
    <x v="3"/>
    <x v="1"/>
    <s v="Opstellen productbacklog"/>
    <s v="Opstellen productbacklog"/>
    <d v="2025-11-11T00:00:00"/>
    <n v="0.5"/>
    <x v="0"/>
    <x v="0"/>
  </r>
  <r>
    <x v="3"/>
    <x v="1"/>
    <s v="Reviewen werk"/>
    <s v="Reviewen Edwards werk"/>
    <d v="2025-11-11T00:00:00"/>
    <n v="0.5"/>
    <x v="0"/>
    <x v="2"/>
  </r>
  <r>
    <x v="3"/>
    <x v="0"/>
    <s v="Bestuderen  probleemstelling"/>
    <s v="Bestuderen opdracht"/>
    <d v="2025-11-11T00:00:00"/>
    <n v="1"/>
    <x v="0"/>
    <x v="0"/>
  </r>
  <r>
    <x v="1"/>
    <x v="2"/>
    <s v="Doorvoeren PR naar dev"/>
    <s v="Git merge "/>
    <d v="2025-11-11T00:00:00"/>
    <n v="0.3"/>
    <x v="0"/>
    <x v="2"/>
  </r>
  <r>
    <x v="1"/>
    <x v="2"/>
    <s v="Fork maken"/>
    <s v="Github opzetten, invites sturen, etc"/>
    <d v="2025-11-11T00:00:00"/>
    <n v="1"/>
    <x v="0"/>
    <x v="1"/>
  </r>
  <r>
    <x v="0"/>
    <x v="4"/>
    <s v="Verzamelen testscenarios"/>
    <s v="Opstellen van Testontwerp"/>
    <d v="2025-11-12T00:00:00"/>
    <n v="1"/>
    <x v="0"/>
    <x v="3"/>
  </r>
  <r>
    <x v="0"/>
    <x v="4"/>
    <s v="Verzamelen testcases"/>
    <s v="Opstellen van Testontwerp"/>
    <d v="2025-11-12T00:00:00"/>
    <n v="1"/>
    <x v="0"/>
    <x v="3"/>
  </r>
  <r>
    <x v="0"/>
    <x v="4"/>
    <s v="Opstellen schriftelijke testcase"/>
    <s v="Opstellen van Testontwerp"/>
    <d v="2025-11-12T00:00:00"/>
    <n v="0.5"/>
    <x v="0"/>
    <x v="2"/>
  </r>
  <r>
    <x v="0"/>
    <x v="4"/>
    <s v="Opstellen schriftelijke testcase"/>
    <s v="Opstellen van het concept van het Testrapportage"/>
    <d v="2025-11-12T00:00:00"/>
    <n v="1"/>
    <x v="0"/>
    <x v="2"/>
  </r>
  <r>
    <x v="1"/>
    <x v="2"/>
    <s v="PO gesprek inplannen"/>
    <s v="Gesprek voor deze week"/>
    <d v="2025-11-12T00:00:00"/>
    <n v="0.35"/>
    <x v="0"/>
    <x v="2"/>
  </r>
  <r>
    <x v="1"/>
    <x v="1"/>
    <s v="Reviewen werk"/>
    <s v="Review alle documentatie van Edward"/>
    <d v="2025-11-13T00:00:00"/>
    <n v="2"/>
    <x v="0"/>
    <x v="2"/>
  </r>
  <r>
    <x v="1"/>
    <x v="1"/>
    <s v="Feedback geven"/>
    <s v="Feedback geven gebaseert op review"/>
    <d v="2025-11-13T00:00:00"/>
    <n v="0.5"/>
    <x v="0"/>
    <x v="4"/>
  </r>
  <r>
    <x v="0"/>
    <x v="1"/>
    <s v="Feedback ontvangen"/>
    <s v="Review en discussie mbt Feedback team"/>
    <d v="2025-11-13T00:00:00"/>
    <n v="0.5"/>
    <x v="0"/>
    <x v="4"/>
  </r>
  <r>
    <x v="0"/>
    <x v="0"/>
    <s v="Maken domeinmodel"/>
    <s v="Aanpassen en verrijken van het Functioneel ontwerp"/>
    <d v="2025-11-13T00:00:00"/>
    <n v="3.5"/>
    <x v="0"/>
    <x v="0"/>
  </r>
  <r>
    <x v="3"/>
    <x v="1"/>
    <s v="Noteren actiepunten"/>
    <s v="Notities opstellen in de requirement analyse"/>
    <d v="2025-11-13T00:00:00"/>
    <n v="2.5"/>
    <x v="0"/>
    <x v="4"/>
  </r>
  <r>
    <x v="3"/>
    <x v="1"/>
    <s v="Reviewen werk"/>
    <s v="Reviewen van alle documenten"/>
    <d v="2025-11-14T00:00:00"/>
    <n v="1"/>
    <x v="0"/>
    <x v="2"/>
  </r>
  <r>
    <x v="0"/>
    <x v="1"/>
    <s v="Feedback verwerken"/>
    <s v="Opstellen van het Projectdocument "/>
    <d v="2025-11-14T00:00:00"/>
    <n v="2.5"/>
    <x v="0"/>
    <x v="4"/>
  </r>
  <r>
    <x v="1"/>
    <x v="1"/>
    <s v="Prioriteren productbacklog"/>
    <s v="Prioriteiten aanpassen"/>
    <d v="2025-11-14T00:00:00"/>
    <n v="0.5"/>
    <x v="0"/>
    <x v="0"/>
  </r>
  <r>
    <x v="1"/>
    <x v="1"/>
    <s v="Reviewen werk"/>
    <s v="Review projectdocument"/>
    <d v="2025-11-14T00:00:00"/>
    <n v="0.75"/>
    <x v="0"/>
    <x v="2"/>
  </r>
  <r>
    <x v="1"/>
    <x v="2"/>
    <s v="Maken geversioneerde release"/>
    <s v="Documenten klaarzetten voor release sprint 0"/>
    <d v="2025-11-14T00:00:00"/>
    <n v="0.75"/>
    <x v="0"/>
    <x v="2"/>
  </r>
  <r>
    <x v="0"/>
    <x v="1"/>
    <s v="Reviewen werk"/>
    <s v="Review Sprint 0 aan teamleden"/>
    <d v="2025-11-14T00:00:00"/>
    <n v="0.75"/>
    <x v="0"/>
    <x v="2"/>
  </r>
  <r>
    <x v="1"/>
    <x v="2"/>
    <s v="Doorvoeren PR naar main"/>
    <s v="Git merge (documentatie)"/>
    <d v="2025-11-14T00:00:00"/>
    <n v="0.3"/>
    <x v="0"/>
    <x v="2"/>
  </r>
  <r>
    <x v="1"/>
    <x v="2"/>
    <s v="Doorvoeren PR naar main"/>
    <s v="Git merge (testontwerp)"/>
    <d v="2025-11-14T00:00:00"/>
    <n v="0.3"/>
    <x v="0"/>
    <x v="2"/>
  </r>
  <r>
    <x v="1"/>
    <x v="2"/>
    <s v="Doorvoeren PR naar main"/>
    <s v="Git merge (framework)"/>
    <d v="2025-11-14T00:00:00"/>
    <n v="0.3"/>
    <x v="0"/>
    <x v="2"/>
  </r>
  <r>
    <x v="1"/>
    <x v="4"/>
    <s v="Uitvoeren handmatige test"/>
    <s v="Dubbelcheck gitmerge beide voor en na mergen."/>
    <d v="2025-11-14T00:00:00"/>
    <n v="0.3"/>
    <x v="0"/>
    <x v="2"/>
  </r>
  <r>
    <x v="1"/>
    <x v="4"/>
    <s v="Uitvoeren handmatige test"/>
    <s v="Dubbelcheck gitmerge beide voor en na mergen."/>
    <d v="2025-11-14T00:00:00"/>
    <n v="0.3"/>
    <x v="0"/>
    <x v="2"/>
  </r>
  <r>
    <x v="1"/>
    <x v="2"/>
    <s v="Inlevering klaarmaken"/>
    <s v="Formulen, dubbelchecken, inleveren."/>
    <d v="2025-11-14T00:00:00"/>
    <n v="0.3"/>
    <x v="0"/>
    <x v="1"/>
  </r>
  <r>
    <x v="1"/>
    <x v="1"/>
    <s v="Reviewen werk"/>
    <s v="Laatste moment bestand reviewen en toevoegen aan inlevering"/>
    <d v="2025-11-14T00:00:00"/>
    <n v="0.15"/>
    <x v="0"/>
    <x v="2"/>
  </r>
  <r>
    <x v="1"/>
    <x v="0"/>
    <s v="Bestuderen  probleemstelling"/>
    <s v="Reviewen en bestuderen documentatie over sprint 0 (samenvoeging)"/>
    <d v="2025-11-15T00:00:00"/>
    <n v="2.25"/>
    <x v="0"/>
    <x v="0"/>
  </r>
  <r>
    <x v="1"/>
    <x v="3"/>
    <s v="Controle aansluiting requirements"/>
    <s v="Reviewen en bestuderen documentatie over sprint 0 (samenvoeging)"/>
    <d v="2025-11-15T00:00:00"/>
    <n v="1.25"/>
    <x v="0"/>
    <x v="3"/>
  </r>
  <r>
    <x v="1"/>
    <x v="3"/>
    <s v="Ondersteunen bij ontwerpkeuzes"/>
    <s v="Reviewen en bestuderen documentatie over sprint 0 (samenvoeging)"/>
    <d v="2025-11-15T00:00:00"/>
    <n v="1.25"/>
    <x v="0"/>
    <x v="4"/>
  </r>
  <r>
    <x v="0"/>
    <x v="1"/>
    <s v="Werk presenteren"/>
    <s v="Opstellen van een demo-presentatie"/>
    <d v="2025-11-16T00:00:00"/>
    <n v="2"/>
    <x v="0"/>
    <x v="4"/>
  </r>
  <r>
    <x v="1"/>
    <x v="1"/>
    <s v="Werk presenteren"/>
    <s v="Slides toevoegen"/>
    <d v="2025-11-16T00:00:00"/>
    <n v="0.5"/>
    <x v="0"/>
    <x v="4"/>
  </r>
  <r>
    <x v="2"/>
    <x v="1"/>
    <s v="Werk presenteren"/>
    <s v="Slides toevoegen"/>
    <d v="2025-11-16T00:00:00"/>
    <n v="0.5"/>
    <x v="0"/>
    <x v="4"/>
  </r>
  <r>
    <x v="3"/>
    <x v="1"/>
    <s v="Werk presenteren"/>
    <s v="opstellen van een demo-presentatie"/>
    <d v="2025-11-16T00:00:00"/>
    <n v="2"/>
    <x v="0"/>
    <x v="4"/>
  </r>
  <r>
    <x v="0"/>
    <x v="1"/>
    <s v="Werk presenteren"/>
    <s v="Presentatie "/>
    <d v="2025-11-17T00:00:00"/>
    <n v="0.5"/>
    <x v="1"/>
    <x v="4"/>
  </r>
  <r>
    <x v="1"/>
    <x v="1"/>
    <s v="Werk presenteren"/>
    <s v="Presentatie en retrospective"/>
    <d v="2025-11-17T00:00:00"/>
    <n v="0.5"/>
    <x v="1"/>
    <x v="4"/>
  </r>
  <r>
    <x v="0"/>
    <x v="0"/>
    <s v="Uitvragen requirements"/>
    <s v="Overleg met PO"/>
    <d v="2025-11-17T00:00:00"/>
    <n v="0.5"/>
    <x v="1"/>
    <x v="0"/>
  </r>
  <r>
    <x v="1"/>
    <x v="1"/>
    <s v="Feedback geven"/>
    <s v="Feedback voor voortgangsdocument"/>
    <d v="2025-11-17T00:00:00"/>
    <n v="0.15"/>
    <x v="1"/>
    <x v="4"/>
  </r>
  <r>
    <x v="0"/>
    <x v="1"/>
    <s v="Feedback geven"/>
    <s v="Feedback voor voortgangsdocument"/>
    <d v="2025-11-17T00:00:00"/>
    <n v="0.15"/>
    <x v="1"/>
    <x v="4"/>
  </r>
  <r>
    <x v="1"/>
    <x v="1"/>
    <s v="Feedback ontvangen"/>
    <s v="Feedback voor voortgangsdocument"/>
    <d v="2025-11-17T00:00:00"/>
    <n v="0.15"/>
    <x v="1"/>
    <x v="4"/>
  </r>
  <r>
    <x v="0"/>
    <x v="1"/>
    <s v="Feedback ontvangen"/>
    <s v="Feedback voor voortgangsdocument"/>
    <d v="2025-11-17T00:00:00"/>
    <n v="0.15"/>
    <x v="1"/>
    <x v="4"/>
  </r>
  <r>
    <x v="2"/>
    <x v="0"/>
    <s v="Uitvragen requirements"/>
    <s v="Overleg met PO"/>
    <d v="2025-11-17T00:00:00"/>
    <n v="0.5"/>
    <x v="1"/>
    <x v="0"/>
  </r>
  <r>
    <x v="2"/>
    <x v="1"/>
    <s v="Feedback geven"/>
    <s v="Feedback voor voortgangsdocument"/>
    <d v="2025-11-17T00:00:00"/>
    <n v="0.15"/>
    <x v="1"/>
    <x v="4"/>
  </r>
  <r>
    <x v="2"/>
    <x v="1"/>
    <s v="Feedback ontvangen"/>
    <s v="Feedback voor voortgangsdocument"/>
    <d v="2025-11-17T00:00:00"/>
    <n v="0.15"/>
    <x v="1"/>
    <x v="4"/>
  </r>
  <r>
    <x v="1"/>
    <x v="1"/>
    <s v="Opstellen productbacklog"/>
    <s v="Workshop gevolgd"/>
    <d v="2025-11-18T00:00:00"/>
    <n v="3"/>
    <x v="1"/>
    <x v="0"/>
  </r>
  <r>
    <x v="0"/>
    <x v="1"/>
    <s v="Opstellen productbacklog"/>
    <s v="Workshop gevolgd"/>
    <d v="2025-11-18T00:00:00"/>
    <n v="3"/>
    <x v="1"/>
    <x v="0"/>
  </r>
  <r>
    <x v="2"/>
    <x v="1"/>
    <s v="Opstellen productbacklog"/>
    <s v="Workshop gevolgd"/>
    <d v="2025-11-18T00:00:00"/>
    <n v="3"/>
    <x v="1"/>
    <x v="0"/>
  </r>
  <r>
    <x v="1"/>
    <x v="1"/>
    <s v="Vaststellen sprintdoel"/>
    <s v="Trello opgezet met taken"/>
    <d v="2025-11-18T00:00:00"/>
    <n v="0.5"/>
    <x v="1"/>
    <x v="0"/>
  </r>
  <r>
    <x v="1"/>
    <x v="5"/>
    <s v="Structureer code"/>
    <s v="Framework gemaakt"/>
    <d v="2025-11-18T00:00:00"/>
    <n v="0.75"/>
    <x v="1"/>
    <x v="2"/>
  </r>
  <r>
    <x v="1"/>
    <x v="2"/>
    <s v="Doorvoeren PR naar dev"/>
    <s v="Framework in develop gezet voor review"/>
    <d v="2025-11-18T00:00:00"/>
    <n v="0.75"/>
    <x v="1"/>
    <x v="2"/>
  </r>
  <r>
    <x v="1"/>
    <x v="1"/>
    <s v="Reviewen werk"/>
    <s v="Nagecheckt of framework werkt via het clonen van repository."/>
    <d v="2025-11-18T00:00:00"/>
    <n v="0.5"/>
    <x v="1"/>
    <x v="2"/>
  </r>
  <r>
    <x v="0"/>
    <x v="1"/>
    <s v="Afstemmen op behoeften omgeving"/>
    <s v="Scrumworkshop gevolgd"/>
    <d v="2025-11-18T00:00:00"/>
    <n v="1"/>
    <x v="1"/>
    <x v="1"/>
  </r>
  <r>
    <x v="1"/>
    <x v="1"/>
    <s v="Noteren actiepunten"/>
    <s v="Team sturen in wat er gedaan moet worden (Samengevoegd voor sprint 1)"/>
    <d v="2025-11-18T00:00:00"/>
    <n v="2"/>
    <x v="1"/>
    <x v="4"/>
  </r>
  <r>
    <x v="2"/>
    <x v="1"/>
    <s v="Opstellen productbacklog"/>
    <s v="Workshop gevolgd"/>
    <d v="2025-11-18T00:00:00"/>
    <n v="3"/>
    <x v="1"/>
    <x v="0"/>
  </r>
  <r>
    <x v="2"/>
    <x v="1"/>
    <s v="Afstemmen op behoeften omgeving"/>
    <s v="Scrumworkshop gevolgd"/>
    <d v="2025-11-18T00:00:00"/>
    <n v="1"/>
    <x v="1"/>
    <x v="1"/>
  </r>
  <r>
    <x v="0"/>
    <x v="3"/>
    <s v="Iteratief verfijnen ontwerp"/>
    <s v="Ontwikkelen en verbeteren van de code (UC1)"/>
    <d v="2025-11-19T00:00:00"/>
    <n v="5"/>
    <x v="1"/>
    <x v="3"/>
  </r>
  <r>
    <x v="1"/>
    <x v="5"/>
    <s v="Structureer code"/>
    <s v="Verbinding met MYSQL database opgezet, database als service toegevoegd. Testdatabase met beheerder gemaakt."/>
    <d v="2025-11-19T00:00:00"/>
    <n v="5"/>
    <x v="1"/>
    <x v="2"/>
  </r>
  <r>
    <x v="1"/>
    <x v="4"/>
    <s v="Uitvoeren handmatige test"/>
    <s v="Databaseverbinding getest"/>
    <d v="2025-11-19T00:00:00"/>
    <n v="0.5"/>
    <x v="1"/>
    <x v="2"/>
  </r>
  <r>
    <x v="0"/>
    <x v="0"/>
    <s v="Uitvragen requirements"/>
    <s v="Overleg met PO"/>
    <d v="2025-11-19T00:00:00"/>
    <n v="0.5"/>
    <x v="1"/>
    <x v="0"/>
  </r>
  <r>
    <x v="1"/>
    <x v="1"/>
    <s v="Ondersteunen teamlid"/>
    <s v="Hulp met stagen commits"/>
    <d v="2025-11-19T00:00:00"/>
    <n v="0.35"/>
    <x v="1"/>
    <x v="4"/>
  </r>
  <r>
    <x v="0"/>
    <x v="3"/>
    <s v="Iteratief verfijnen ontwerp"/>
    <s v="Ontwikkelen en verbeteren van de code (UC2)"/>
    <d v="2025-11-20T00:00:00"/>
    <n v="3"/>
    <x v="1"/>
    <x v="3"/>
  </r>
  <r>
    <x v="0"/>
    <x v="5"/>
    <s v="Controleer aansluiting ontwerp"/>
    <s v="Bijwerken projectdocumentatie: Requirementsanalyse, Functioneel ontwerp, Technisch ontwerp, Testontwerp, Testrapportage"/>
    <d v="2025-11-20T00:00:00"/>
    <n v="4"/>
    <x v="1"/>
    <x v="2"/>
  </r>
  <r>
    <x v="3"/>
    <x v="5"/>
    <s v="Structureer code"/>
    <s v="Header opstellen"/>
    <d v="2025-11-20T00:00:00"/>
    <n v="3.5"/>
    <x v="1"/>
    <x v="2"/>
  </r>
  <r>
    <x v="1"/>
    <x v="1"/>
    <s v="Reviewen werk"/>
    <s v="Review documentatie"/>
    <d v="2025-11-20T00:00:00"/>
    <n v="1"/>
    <x v="1"/>
    <x v="2"/>
  </r>
  <r>
    <x v="1"/>
    <x v="5"/>
    <s v="Peerreviewen code"/>
    <s v="Review code UC1 &amp; UC2"/>
    <d v="2025-11-21T00:00:00"/>
    <n v="0.5"/>
    <x v="1"/>
    <x v="2"/>
  </r>
  <r>
    <x v="2"/>
    <x v="3"/>
    <s v="Controle communiceerbaarheid ontwerp"/>
    <s v="Uitwerken ontwerpdocument en samenvoeging bij prjectdocumentatie"/>
    <d v="2025-11-21T00:00:00"/>
    <n v="4"/>
    <x v="1"/>
    <x v="3"/>
  </r>
  <r>
    <x v="1"/>
    <x v="1"/>
    <s v="Reviewen werk"/>
    <s v="Dashboard"/>
    <d v="2025-11-21T00:00:00"/>
    <n v="0.5"/>
    <x v="1"/>
    <x v="2"/>
  </r>
  <r>
    <x v="0"/>
    <x v="1"/>
    <s v="Monitoren voortgang sprintdoel"/>
    <s v="Monitoring voortgang, hulp aan anderen, testing enz."/>
    <d v="2025-11-21T00:00:00"/>
    <n v="0.5"/>
    <x v="1"/>
    <x v="2"/>
  </r>
  <r>
    <x v="3"/>
    <x v="1"/>
    <s v="Kiezen user stories"/>
    <s v="User stories opzetten"/>
    <d v="2025-11-21T00:00:00"/>
    <n v="1"/>
    <x v="1"/>
    <x v="0"/>
  </r>
  <r>
    <x v="1"/>
    <x v="2"/>
    <s v="Maken geversioneerde release"/>
    <s v="Dashboard naar develop met merge conflict, dat getest en opgelost, daarna naar main &amp; release."/>
    <d v="2025-11-21T00:00:00"/>
    <n v="1"/>
    <x v="1"/>
    <x v="2"/>
  </r>
  <r>
    <x v="1"/>
    <x v="5"/>
    <s v="Spoor fouten op"/>
    <s v="de fout ^"/>
    <d v="2025-11-21T00:00:00"/>
    <n v="0.25"/>
    <x v="1"/>
    <x v="2"/>
  </r>
  <r>
    <x v="3"/>
    <x v="1"/>
    <s v="Vaststellen sprintdoel"/>
    <s v="Opstellen van het Projectdocument "/>
    <d v="2025-11-21T00:00:00"/>
    <n v="4"/>
    <x v="1"/>
    <x v="0"/>
  </r>
  <r>
    <x v="3"/>
    <x v="1"/>
    <s v="Monitoren voortgang sprintdoel"/>
    <s v="Opstellen SCRUM retrospective"/>
    <d v="2025-11-21T00:00:00"/>
    <n v="1.5"/>
    <x v="1"/>
    <x v="2"/>
  </r>
  <r>
    <x v="1"/>
    <x v="2"/>
    <s v="Mergen feature met PR"/>
    <s v="Git merge (Database verbinding)"/>
    <d v="2025-11-21T00:00:00"/>
    <n v="0.3"/>
    <x v="1"/>
    <x v="2"/>
  </r>
  <r>
    <x v="1"/>
    <x v="2"/>
    <s v="Mergen feature met PR"/>
    <s v="Git merge (Dashboard)"/>
    <d v="2025-11-21T00:00:00"/>
    <n v="0.3"/>
    <x v="1"/>
    <x v="2"/>
  </r>
  <r>
    <x v="1"/>
    <x v="4"/>
    <s v="Uitvoeren handmatige test"/>
    <s v="Dubbelcheck gitmerge beide voor en na mergen."/>
    <d v="2025-11-21T00:00:00"/>
    <n v="0.3"/>
    <x v="1"/>
    <x v="2"/>
  </r>
  <r>
    <x v="1"/>
    <x v="4"/>
    <s v="Uitvoeren handmatige test"/>
    <s v="Dubbelcheck gitmerge beide voor en na mergen."/>
    <d v="2025-11-21T00:00:00"/>
    <n v="0.3"/>
    <x v="1"/>
    <x v="2"/>
  </r>
  <r>
    <x v="1"/>
    <x v="4"/>
    <s v="Uitvoeren handmatige test"/>
    <s v="Testen meerdere stappen van release"/>
    <d v="2025-11-21T00:00:00"/>
    <n v="0.5"/>
    <x v="1"/>
    <x v="2"/>
  </r>
  <r>
    <x v="1"/>
    <x v="2"/>
    <s v="Inlevering klaarmaken"/>
    <s v="Alles verzamelen, formuleren, dubbelchecken, inleveren."/>
    <d v="2025-11-21T00:00:00"/>
    <n v="1.5"/>
    <x v="1"/>
    <x v="1"/>
  </r>
  <r>
    <x v="1"/>
    <x v="0"/>
    <s v="Bestuderen  probleemstelling"/>
    <s v="Projectdocument analyseren"/>
    <d v="2025-11-21T00:00:00"/>
    <n v="1"/>
    <x v="1"/>
    <x v="0"/>
  </r>
  <r>
    <x v="0"/>
    <x v="0"/>
    <s v="Bestuderen  probleemstelling"/>
    <s v="Projectdocument analyseren"/>
    <d v="2025-11-21T00:00:00"/>
    <n v="1"/>
    <x v="1"/>
    <x v="0"/>
  </r>
  <r>
    <x v="1"/>
    <x v="1"/>
    <s v="Vaststellen sprintdoel"/>
    <s v="Review projectdocument"/>
    <d v="2025-11-21T00:00:00"/>
    <n v="1"/>
    <x v="1"/>
    <x v="0"/>
  </r>
  <r>
    <x v="1"/>
    <x v="3"/>
    <s v="Controle communiceerbaarheid ontwerp"/>
    <s v="Review ontwerpdocument"/>
    <d v="2025-11-21T00:00:00"/>
    <n v="0.5"/>
    <x v="1"/>
    <x v="3"/>
  </r>
  <r>
    <x v="0"/>
    <x v="1"/>
    <s v="Werk presenteren"/>
    <s v="Opstellen van een demo-presentatie Sprint 1"/>
    <d v="2025-11-22T00:00:00"/>
    <n v="0.75"/>
    <x v="1"/>
    <x v="4"/>
  </r>
  <r>
    <x v="1"/>
    <x v="1"/>
    <s v="Werk presenteren"/>
    <s v="Slides toevoegen"/>
    <d v="2025-11-23T00:00:00"/>
    <n v="0.5"/>
    <x v="1"/>
    <x v="4"/>
  </r>
  <r>
    <x v="0"/>
    <x v="1"/>
    <s v="Werk presenteren"/>
    <s v="Presentatie en retrospective"/>
    <d v="2025-11-24T00:00:00"/>
    <n v="1"/>
    <x v="1"/>
    <x v="4"/>
  </r>
  <r>
    <x v="0"/>
    <x v="5"/>
    <s v="Controleer aansluiting ontwerp"/>
    <s v="Aanpassing en aanvulling van het Requirementsanalyse en het Functioneel ontwerp m.b.t. UC3 - UC5."/>
    <d v="2025-11-24T00:00:00"/>
    <n v="3"/>
    <x v="2"/>
    <x v="2"/>
  </r>
  <r>
    <x v="2"/>
    <x v="6"/>
    <s v="nvt"/>
    <s v="Heel sprint 0-half sprint 1 ziekteverzuim wegens operatie."/>
    <d v="2025-11-24T00:00:00"/>
    <n v="0"/>
    <x v="3"/>
    <x v="5"/>
  </r>
  <r>
    <x v="1"/>
    <x v="1"/>
    <s v="Daily standup"/>
    <s v="Daily standup als scrummaster gehouden"/>
    <d v="2025-11-24T00:00:00"/>
    <n v="0.5"/>
    <x v="2"/>
    <x v="1"/>
  </r>
  <r>
    <x v="1"/>
    <x v="1"/>
    <s v="Werk presenteren"/>
    <s v="Presentatie en retrospective"/>
    <d v="2025-11-24T00:00:00"/>
    <n v="1"/>
    <x v="1"/>
    <x v="4"/>
  </r>
  <r>
    <x v="0"/>
    <x v="1"/>
    <s v="Daily standup"/>
    <s v="Daily standup"/>
    <d v="2025-11-24T00:00:00"/>
    <n v="0.5"/>
    <x v="2"/>
    <x v="1"/>
  </r>
  <r>
    <x v="1"/>
    <x v="1"/>
    <s v="Feedback geven"/>
    <s v="Feedback voor voortgangsdocument"/>
    <d v="2025-11-24T00:00:00"/>
    <n v="0.25"/>
    <x v="2"/>
    <x v="4"/>
  </r>
  <r>
    <x v="0"/>
    <x v="1"/>
    <s v="Feedback geven"/>
    <s v="Feedback voor voortgangsdocument"/>
    <d v="2025-11-24T00:00:00"/>
    <n v="0.25"/>
    <x v="2"/>
    <x v="4"/>
  </r>
  <r>
    <x v="1"/>
    <x v="1"/>
    <s v="Feedback ontvangen"/>
    <s v="Feedback voor voortgangsdocument"/>
    <d v="2025-11-24T00:00:00"/>
    <n v="0.25"/>
    <x v="2"/>
    <x v="4"/>
  </r>
  <r>
    <x v="0"/>
    <x v="1"/>
    <s v="Feedback ontvangen"/>
    <s v="Feedback voor voortgangsdocument"/>
    <d v="2025-11-24T00:00:00"/>
    <n v="0.25"/>
    <x v="2"/>
    <x v="4"/>
  </r>
  <r>
    <x v="1"/>
    <x v="2"/>
    <s v="PO gesprek inplannen"/>
    <s v="Gesprek voor deze week"/>
    <d v="2025-11-24T00:00:00"/>
    <n v="0.35"/>
    <x v="2"/>
    <x v="2"/>
  </r>
  <r>
    <x v="2"/>
    <x v="1"/>
    <s v="Werk presenteren"/>
    <s v="Presentatie en retrospective"/>
    <d v="2025-11-24T00:00:00"/>
    <n v="1"/>
    <x v="1"/>
    <x v="4"/>
  </r>
  <r>
    <x v="2"/>
    <x v="1"/>
    <s v="Feedback geven"/>
    <s v="Feedback voor voortgangsdocument"/>
    <d v="2025-11-24T00:00:00"/>
    <n v="0.25"/>
    <x v="2"/>
    <x v="4"/>
  </r>
  <r>
    <x v="2"/>
    <x v="1"/>
    <s v="Feedback ontvangen"/>
    <s v="Feedback voor voortgangsdocument"/>
    <d v="2025-11-24T00:00:00"/>
    <n v="0.25"/>
    <x v="2"/>
    <x v="4"/>
  </r>
  <r>
    <x v="2"/>
    <x v="1"/>
    <s v="Daily standup"/>
    <s v="Daily standup"/>
    <d v="2025-11-24T00:00:00"/>
    <n v="0.5"/>
    <x v="2"/>
    <x v="1"/>
  </r>
  <r>
    <x v="3"/>
    <x v="1"/>
    <s v="Daily standup"/>
    <s v="Dailystandup"/>
    <d v="2025-11-24T00:00:00"/>
    <n v="0.5"/>
    <x v="2"/>
    <x v="1"/>
  </r>
  <r>
    <x v="3"/>
    <x v="7"/>
    <s v="Feedback geven"/>
    <s v="Feedback geven aan mijn teamgenoten"/>
    <d v="2025-11-24T00:00:00"/>
    <n v="1"/>
    <x v="1"/>
    <x v="4"/>
  </r>
  <r>
    <x v="3"/>
    <x v="7"/>
    <s v="Feedback verwerken"/>
    <s v="Feedback verwerken in mijn document."/>
    <d v="2025-11-24T00:00:00"/>
    <n v="1.25"/>
    <x v="1"/>
    <x v="4"/>
  </r>
  <r>
    <x v="3"/>
    <x v="1"/>
    <s v="Werk presenteren"/>
    <s v="Werk presenteren sprint 1"/>
    <d v="2025-11-24T00:00:00"/>
    <n v="0.5"/>
    <x v="1"/>
    <x v="4"/>
  </r>
  <r>
    <x v="1"/>
    <x v="1"/>
    <s v="Ondersteunen teamlid"/>
    <s v="Helpen met error visual studio"/>
    <d v="2025-11-25T00:00:00"/>
    <n v="0.5"/>
    <x v="2"/>
    <x v="4"/>
  </r>
  <r>
    <x v="1"/>
    <x v="5"/>
    <s v="Structureer code"/>
    <s v="Styling"/>
    <d v="2025-11-25T00:00:00"/>
    <n v="4"/>
    <x v="2"/>
    <x v="2"/>
  </r>
  <r>
    <x v="0"/>
    <x v="5"/>
    <s v="Controleer aansluiting ontwerp"/>
    <s v="Aanpassing en aanvulling van Technisch Ontwerp v1.2.0 m.b.t. UC3-UC5 incl. nieuwe diagrammen"/>
    <d v="2025-11-25T00:00:00"/>
    <n v="5"/>
    <x v="2"/>
    <x v="2"/>
  </r>
  <r>
    <x v="0"/>
    <x v="3"/>
    <s v="Controle toepassing ontwerptechnieken"/>
    <s v="Ontwerpen oefenscherm"/>
    <d v="2025-11-25T00:00:00"/>
    <n v="1"/>
    <x v="2"/>
    <x v="3"/>
  </r>
  <r>
    <x v="3"/>
    <x v="5"/>
    <s v="Structureer code"/>
    <s v="Header "/>
    <d v="2025-11-25T00:00:00"/>
    <n v="4"/>
    <x v="2"/>
    <x v="2"/>
  </r>
  <r>
    <x v="1"/>
    <x v="1"/>
    <s v="Daily standup"/>
    <s v="Daily standup als scrummaster gehouden"/>
    <d v="2025-11-25T00:00:00"/>
    <n v="0.5"/>
    <x v="2"/>
    <x v="1"/>
  </r>
  <r>
    <x v="0"/>
    <x v="1"/>
    <s v="Feedback verwerken"/>
    <s v="Voorbereiding Persoonlijk en Teams Retrospectief en het Voortgangsdocument"/>
    <d v="2025-11-25T00:00:00"/>
    <n v="1.5"/>
    <x v="1"/>
    <x v="4"/>
  </r>
  <r>
    <x v="0"/>
    <x v="1"/>
    <s v="Daily standup"/>
    <s v="Daily standup"/>
    <d v="2025-11-25T00:00:00"/>
    <n v="0.5"/>
    <x v="2"/>
    <x v="1"/>
  </r>
  <r>
    <x v="2"/>
    <x v="1"/>
    <s v="Daily standup"/>
    <s v="Daily standup"/>
    <d v="2025-11-25T00:00:00"/>
    <n v="0.5"/>
    <x v="2"/>
    <x v="1"/>
  </r>
  <r>
    <x v="3"/>
    <x v="1"/>
    <s v="Daily standup"/>
    <s v="Dailystandup"/>
    <d v="2025-11-25T00:00:00"/>
    <n v="0.5"/>
    <x v="2"/>
    <x v="1"/>
  </r>
  <r>
    <x v="1"/>
    <x v="0"/>
    <s v="Bestuderen  probleemstelling"/>
    <s v="Workshop gevolgd"/>
    <d v="2025-11-26T00:00:00"/>
    <n v="3"/>
    <x v="2"/>
    <x v="0"/>
  </r>
  <r>
    <x v="0"/>
    <x v="0"/>
    <s v="Bestuderen  probleemstelling"/>
    <s v="Workshop gevolgd"/>
    <d v="2025-11-26T00:00:00"/>
    <n v="3"/>
    <x v="2"/>
    <x v="0"/>
  </r>
  <r>
    <x v="1"/>
    <x v="5"/>
    <s v="Structureer code"/>
    <s v="Styling"/>
    <d v="2025-11-26T00:00:00"/>
    <n v="1.5"/>
    <x v="2"/>
    <x v="2"/>
  </r>
  <r>
    <x v="1"/>
    <x v="5"/>
    <s v="Spoor fouten op"/>
    <s v="Begonnen met foute database van vorige sprint veilig weghalen"/>
    <d v="2025-11-26T00:00:00"/>
    <n v="1"/>
    <x v="2"/>
    <x v="2"/>
  </r>
  <r>
    <x v="0"/>
    <x v="4"/>
    <s v="Verzamelen testcases"/>
    <s v="Aanpassing en aanvulliong het Testontwerp en het Testrapportage v1.2.0"/>
    <d v="2025-11-26T00:00:00"/>
    <n v="3"/>
    <x v="2"/>
    <x v="3"/>
  </r>
  <r>
    <x v="3"/>
    <x v="5"/>
    <s v="Structureer code"/>
    <s v="Header IDE fouten oplossen"/>
    <d v="2025-11-26T00:00:00"/>
    <n v="3"/>
    <x v="2"/>
    <x v="2"/>
  </r>
  <r>
    <x v="2"/>
    <x v="5"/>
    <s v="Structureer code"/>
    <s v="Oefenzinnen opstellen 1/2"/>
    <d v="2025-11-26T00:00:00"/>
    <n v="2.5"/>
    <x v="1"/>
    <x v="2"/>
  </r>
  <r>
    <x v="1"/>
    <x v="1"/>
    <s v="Daily standup"/>
    <s v="Daily standup als scrummaster gehouden"/>
    <d v="2025-11-26T00:00:00"/>
    <n v="0.5"/>
    <x v="2"/>
    <x v="1"/>
  </r>
  <r>
    <x v="0"/>
    <x v="1"/>
    <s v="Daily standup"/>
    <s v="Daily standup"/>
    <d v="2025-11-26T00:00:00"/>
    <n v="0.5"/>
    <x v="2"/>
    <x v="1"/>
  </r>
  <r>
    <x v="1"/>
    <x v="1"/>
    <s v="Ondersteunen teamlid"/>
    <s v="hulp met bug visual studio"/>
    <d v="2025-11-26T00:00:00"/>
    <n v="0.25"/>
    <x v="2"/>
    <x v="4"/>
  </r>
  <r>
    <x v="1"/>
    <x v="4"/>
    <s v="Verzamelen testscenarios"/>
    <s v="Review testdocumentatie"/>
    <d v="2025-11-26T00:00:00"/>
    <n v="0.5"/>
    <x v="2"/>
    <x v="3"/>
  </r>
  <r>
    <x v="2"/>
    <x v="0"/>
    <s v="Bestuderen  probleemstelling"/>
    <s v="Workshop gevolgd"/>
    <d v="2025-11-26T00:00:00"/>
    <n v="3"/>
    <x v="2"/>
    <x v="0"/>
  </r>
  <r>
    <x v="2"/>
    <x v="1"/>
    <s v="Daily standup"/>
    <s v="Daily standup"/>
    <d v="2025-11-26T00:00:00"/>
    <n v="0.5"/>
    <x v="2"/>
    <x v="1"/>
  </r>
  <r>
    <x v="3"/>
    <x v="1"/>
    <s v="Daily standup"/>
    <s v="Dailystandup"/>
    <d v="2025-11-26T00:00:00"/>
    <n v="0.5"/>
    <x v="2"/>
    <x v="1"/>
  </r>
  <r>
    <x v="3"/>
    <x v="0"/>
    <s v="Bestuderen  probleemstelling"/>
    <s v="Workshop C#"/>
    <d v="2025-11-26T00:00:00"/>
    <n v="2"/>
    <x v="2"/>
    <x v="0"/>
  </r>
  <r>
    <x v="1"/>
    <x v="5"/>
    <s v="Spoor fouten op"/>
    <s v="Foute database weg"/>
    <d v="2025-11-27T00:00:00"/>
    <n v="1"/>
    <x v="2"/>
    <x v="2"/>
  </r>
  <r>
    <x v="0"/>
    <x v="3"/>
    <s v="Iteratief verfijnen ontwerp"/>
    <s v="Code verfijnen en werkend maken"/>
    <d v="2025-11-27T00:00:00"/>
    <n v="2"/>
    <x v="2"/>
    <x v="3"/>
  </r>
  <r>
    <x v="2"/>
    <x v="5"/>
    <s v="Structureer code"/>
    <s v="Oefenzinnen opstellen 2/2"/>
    <d v="2025-11-27T00:00:00"/>
    <n v="1.5"/>
    <x v="1"/>
    <x v="2"/>
  </r>
  <r>
    <x v="1"/>
    <x v="1"/>
    <s v="Daily standup"/>
    <s v="Daily standup als scrummaster gehouden"/>
    <d v="2025-11-27T00:00:00"/>
    <n v="0.5"/>
    <x v="2"/>
    <x v="1"/>
  </r>
  <r>
    <x v="0"/>
    <x v="1"/>
    <s v="Daily standup"/>
    <s v="Daily standup"/>
    <d v="2025-11-27T00:00:00"/>
    <n v="0.5"/>
    <x v="2"/>
    <x v="1"/>
  </r>
  <r>
    <x v="2"/>
    <x v="1"/>
    <s v="Daily standup"/>
    <s v="Daily standup"/>
    <d v="2025-11-27T00:00:00"/>
    <n v="0.5"/>
    <x v="2"/>
    <x v="1"/>
  </r>
  <r>
    <x v="3"/>
    <x v="1"/>
    <s v="Daily standup"/>
    <s v="Dailystandup"/>
    <d v="2025-11-27T00:00:00"/>
    <n v="0.5"/>
    <x v="2"/>
    <x v="1"/>
  </r>
  <r>
    <x v="1"/>
    <x v="5"/>
    <s v="Structureer code"/>
    <s v="Makkelijke zinnen aan resource toegevoegd, en op de oefenpagina functies gemaakt om ze in willekeurige volgorde weer te geven."/>
    <d v="2025-11-28T00:00:00"/>
    <n v="3"/>
    <x v="2"/>
    <x v="2"/>
  </r>
  <r>
    <x v="0"/>
    <x v="3"/>
    <s v="Iteratief verfijnen ontwerp"/>
    <s v="Code verfijnen en werkend maken"/>
    <d v="2025-11-28T00:00:00"/>
    <n v="2"/>
    <x v="2"/>
    <x v="3"/>
  </r>
  <r>
    <x v="3"/>
    <x v="0"/>
    <s v="Bestuderen  probleemstelling"/>
    <s v="Bestuderen words per minute"/>
    <d v="2025-11-28T00:00:00"/>
    <n v="2"/>
    <x v="2"/>
    <x v="0"/>
  </r>
  <r>
    <x v="2"/>
    <x v="3"/>
    <s v="Iteratief verfijnen ontwerp"/>
    <s v="Ontewerpdocument aanmaken"/>
    <d v="2025-11-28T00:00:00"/>
    <n v="2.5"/>
    <x v="1"/>
    <x v="3"/>
  </r>
  <r>
    <x v="1"/>
    <x v="1"/>
    <s v="Daily standup"/>
    <s v="Daily standup als scrummaster gehouden"/>
    <d v="2025-11-28T00:00:00"/>
    <n v="0.5"/>
    <x v="2"/>
    <x v="1"/>
  </r>
  <r>
    <x v="1"/>
    <x v="2"/>
    <s v="Doorvoeren PR naar dev"/>
    <s v="Git merge (fix database weg)"/>
    <d v="2025-11-28T00:00:00"/>
    <n v="0.3"/>
    <x v="2"/>
    <x v="2"/>
  </r>
  <r>
    <x v="1"/>
    <x v="2"/>
    <s v="Doorvoeren PR naar dev"/>
    <s v="Git merge (styledocument)"/>
    <d v="2025-11-28T00:00:00"/>
    <n v="0.3"/>
    <x v="2"/>
    <x v="2"/>
  </r>
  <r>
    <x v="1"/>
    <x v="2"/>
    <s v="Doorvoeren PR naar dev"/>
    <s v="Git merge (oefenzinnen selecteren)"/>
    <d v="2025-11-28T00:00:00"/>
    <n v="0.3"/>
    <x v="2"/>
    <x v="2"/>
  </r>
  <r>
    <x v="1"/>
    <x v="4"/>
    <s v="Uitvoeren handmatige test"/>
    <s v="Dubbelcheck gitmerge beide voor en na mergen."/>
    <d v="2025-11-28T00:00:00"/>
    <n v="0.3"/>
    <x v="2"/>
    <x v="2"/>
  </r>
  <r>
    <x v="1"/>
    <x v="4"/>
    <s v="Uitvoeren handmatige test"/>
    <s v="Dubbelcheck gitmerge beide voor en na mergen."/>
    <d v="2025-11-28T00:00:00"/>
    <n v="0.3"/>
    <x v="2"/>
    <x v="2"/>
  </r>
  <r>
    <x v="1"/>
    <x v="4"/>
    <s v="Uitvoeren handmatige test"/>
    <s v="Dubbelcheck gitmerge beide voor en na mergen."/>
    <d v="2025-11-28T00:00:00"/>
    <n v="0.3"/>
    <x v="2"/>
    <x v="2"/>
  </r>
  <r>
    <x v="0"/>
    <x v="1"/>
    <s v="Daily standup"/>
    <s v="Daily standup"/>
    <d v="2025-11-28T00:00:00"/>
    <n v="0.5"/>
    <x v="2"/>
    <x v="1"/>
  </r>
  <r>
    <x v="2"/>
    <x v="1"/>
    <s v="Daily standup"/>
    <s v="Daily standup"/>
    <d v="2025-11-28T00:00:00"/>
    <n v="0.5"/>
    <x v="2"/>
    <x v="1"/>
  </r>
  <r>
    <x v="3"/>
    <x v="1"/>
    <s v="Daily standup"/>
    <s v="Dailystandup"/>
    <d v="2025-11-28T00:00:00"/>
    <n v="0.5"/>
    <x v="2"/>
    <x v="1"/>
  </r>
  <r>
    <x v="3"/>
    <x v="0"/>
    <s v="Bestuderen  probleemstelling"/>
    <s v="VS problemen oplossen"/>
    <d v="2025-11-28T00:00:00"/>
    <n v="2"/>
    <x v="2"/>
    <x v="0"/>
  </r>
  <r>
    <x v="1"/>
    <x v="5"/>
    <s v="Structureer code"/>
    <s v="Middelmatige en moeilijke zinnen aan resource toegevoegd, de oefenpagina functie aangepast om die nu ook te gebruiken"/>
    <d v="2025-11-29T00:00:00"/>
    <n v="2"/>
    <x v="2"/>
    <x v="2"/>
  </r>
  <r>
    <x v="4"/>
    <x v="5"/>
    <s v="Structureer code"/>
    <s v="De fout detectie van de user input toegevoegd. De textkleur is nu groen als het correct is en rood als het fout is."/>
    <d v="2025-11-29T00:00:00"/>
    <n v="4"/>
    <x v="2"/>
    <x v="2"/>
  </r>
  <r>
    <x v="1"/>
    <x v="1"/>
    <s v="Feedback geven"/>
    <s v="Code foutdetectie"/>
    <d v="2025-11-29T00:00:00"/>
    <n v="0.5"/>
    <x v="2"/>
    <x v="4"/>
  </r>
  <r>
    <x v="1"/>
    <x v="1"/>
    <s v="Daily standup"/>
    <s v="Daily standup als scrummaster gehouden"/>
    <d v="2025-11-29T00:00:00"/>
    <n v="0.5"/>
    <x v="2"/>
    <x v="1"/>
  </r>
  <r>
    <x v="0"/>
    <x v="1"/>
    <s v="Daily standup"/>
    <s v="Daily standup"/>
    <d v="2025-11-29T00:00:00"/>
    <n v="0.5"/>
    <x v="2"/>
    <x v="1"/>
  </r>
  <r>
    <x v="1"/>
    <x v="1"/>
    <s v="Reviewen werk"/>
    <s v="Feature foutdetectie"/>
    <d v="2025-11-29T00:00:00"/>
    <n v="0.5"/>
    <x v="2"/>
    <x v="2"/>
  </r>
  <r>
    <x v="2"/>
    <x v="1"/>
    <s v="Daily standup"/>
    <s v="Daily standup"/>
    <d v="2025-11-29T00:00:00"/>
    <n v="0.5"/>
    <x v="2"/>
    <x v="1"/>
  </r>
  <r>
    <x v="3"/>
    <x v="1"/>
    <s v="Daily standup"/>
    <s v="Dailystandup"/>
    <d v="2025-11-29T00:00:00"/>
    <n v="0.5"/>
    <x v="2"/>
    <x v="1"/>
  </r>
  <r>
    <x v="4"/>
    <x v="5"/>
    <s v="Structureer code"/>
    <s v="Fouten teller toegevoegd, de zinsselectie verhuisd naar een apparte service bestand, een difficulty enum aangemaakt en de zinsselectie geintegeerd met de fout detectie."/>
    <d v="2025-11-30T00:00:00"/>
    <n v="4.5"/>
    <x v="2"/>
    <x v="2"/>
  </r>
  <r>
    <x v="1"/>
    <x v="1"/>
    <s v="Daily standup"/>
    <s v="Daily standup als scrummaster gehouden"/>
    <d v="2025-11-30T00:00:00"/>
    <n v="0.5"/>
    <x v="2"/>
    <x v="1"/>
  </r>
  <r>
    <x v="0"/>
    <x v="1"/>
    <s v="Daily standup"/>
    <s v="Daily standup"/>
    <d v="2025-11-30T00:00:00"/>
    <n v="0.5"/>
    <x v="2"/>
    <x v="1"/>
  </r>
  <r>
    <x v="1"/>
    <x v="2"/>
    <s v="PO gesprek inplannen"/>
    <s v="Gesprek voor deze sprint"/>
    <d v="2025-11-30T00:00:00"/>
    <n v="0.35"/>
    <x v="2"/>
    <x v="2"/>
  </r>
  <r>
    <x v="2"/>
    <x v="1"/>
    <s v="Daily standup"/>
    <s v="Daily standup"/>
    <d v="2025-11-30T00:00:00"/>
    <n v="0.5"/>
    <x v="2"/>
    <x v="1"/>
  </r>
  <r>
    <x v="3"/>
    <x v="1"/>
    <s v="Daily standup"/>
    <s v="Dailystandup"/>
    <d v="2025-11-30T00:00:00"/>
    <n v="0.5"/>
    <x v="2"/>
    <x v="1"/>
  </r>
  <r>
    <x v="1"/>
    <x v="1"/>
    <s v="Feedback geven"/>
    <s v="Code foutdetectie V2"/>
    <d v="2025-12-01T00:00:00"/>
    <n v="0.75"/>
    <x v="2"/>
    <x v="4"/>
  </r>
  <r>
    <x v="1"/>
    <x v="5"/>
    <s v="Structureer code"/>
    <s v="Dashboard styling verbeterd, en omgezet tot in het styledocument zodat er geen styling meer op de pagina staat. Het is veel schoner nu"/>
    <d v="2025-12-01T00:00:00"/>
    <n v="3"/>
    <x v="2"/>
    <x v="2"/>
  </r>
  <r>
    <x v="0"/>
    <x v="5"/>
    <s v="Structureer code"/>
    <s v="Code schoonmaken (clean architecture)"/>
    <d v="2025-12-01T00:00:00"/>
    <n v="10"/>
    <x v="2"/>
    <x v="2"/>
  </r>
  <r>
    <x v="2"/>
    <x v="1"/>
    <s v="Werk presenteren"/>
    <s v="Presentatieslides maken"/>
    <d v="2025-12-01T00:00:00"/>
    <n v="0.5"/>
    <x v="2"/>
    <x v="4"/>
  </r>
  <r>
    <x v="1"/>
    <x v="1"/>
    <s v="Daily standup"/>
    <s v="Daily standup als scrummaster gehouden"/>
    <d v="2025-12-01T00:00:00"/>
    <n v="0.5"/>
    <x v="2"/>
    <x v="1"/>
  </r>
  <r>
    <x v="0"/>
    <x v="1"/>
    <s v="Daily standup"/>
    <s v="Daily standup"/>
    <d v="2025-12-01T00:00:00"/>
    <n v="0.5"/>
    <x v="2"/>
    <x v="1"/>
  </r>
  <r>
    <x v="1"/>
    <x v="1"/>
    <s v="Reviewen werk"/>
    <s v="Feature typoefening"/>
    <d v="2025-12-01T00:00:00"/>
    <n v="0.5"/>
    <x v="2"/>
    <x v="2"/>
  </r>
  <r>
    <x v="2"/>
    <x v="1"/>
    <s v="Daily standup"/>
    <s v="Daily standup"/>
    <d v="2025-12-01T00:00:00"/>
    <n v="0.5"/>
    <x v="2"/>
    <x v="1"/>
  </r>
  <r>
    <x v="3"/>
    <x v="1"/>
    <s v="Daily standup"/>
    <s v="Dailystandup"/>
    <d v="2025-12-01T00:00:00"/>
    <n v="0.5"/>
    <x v="2"/>
    <x v="1"/>
  </r>
  <r>
    <x v="3"/>
    <x v="1"/>
    <s v="Werk presenteren"/>
    <s v="Presentatieslides maken / voorbereiden"/>
    <d v="2025-12-01T00:00:00"/>
    <n v="1"/>
    <x v="2"/>
    <x v="4"/>
  </r>
  <r>
    <x v="1"/>
    <x v="1"/>
    <s v="Prioriteren productbacklog"/>
    <s v="Workshop gevolgd"/>
    <d v="2025-12-02T00:00:00"/>
    <n v="2"/>
    <x v="2"/>
    <x v="0"/>
  </r>
  <r>
    <x v="0"/>
    <x v="1"/>
    <s v="Prioriteren productbacklog"/>
    <s v="Workshop gevolgd"/>
    <d v="2025-12-02T00:00:00"/>
    <n v="2"/>
    <x v="2"/>
    <x v="0"/>
  </r>
  <r>
    <x v="2"/>
    <x v="1"/>
    <s v="Prioriteren productbacklog"/>
    <s v="Workshop gevolgd"/>
    <d v="2025-12-02T00:00:00"/>
    <n v="2"/>
    <x v="2"/>
    <x v="0"/>
  </r>
  <r>
    <x v="3"/>
    <x v="1"/>
    <s v="Prioriteren productbacklog"/>
    <s v="Workshop gevolgd"/>
    <d v="2025-12-02T00:00:00"/>
    <n v="2"/>
    <x v="2"/>
    <x v="0"/>
  </r>
  <r>
    <x v="1"/>
    <x v="5"/>
    <s v="Structureer code"/>
    <s v="Styling helemaal klaar, iconen toegevoegd, geen style meer op de pagina's zelf."/>
    <d v="2025-12-02T00:00:00"/>
    <n v="4"/>
    <x v="2"/>
    <x v="2"/>
  </r>
  <r>
    <x v="1"/>
    <x v="1"/>
    <s v="Ondersteunen teamlid"/>
    <s v="Hulp clean architecture"/>
    <d v="2025-12-02T00:00:00"/>
    <n v="0.5"/>
    <x v="2"/>
    <x v="4"/>
  </r>
  <r>
    <x v="1"/>
    <x v="1"/>
    <s v="Daily standup"/>
    <s v="Daily standup als scrummaster gehouden"/>
    <d v="2025-12-02T00:00:00"/>
    <n v="0.5"/>
    <x v="2"/>
    <x v="1"/>
  </r>
  <r>
    <x v="1"/>
    <x v="2"/>
    <s v="Doorvoeren PR naar dev"/>
    <s v="Git merge (styledocument deel 2)"/>
    <d v="2025-12-02T00:00:00"/>
    <n v="0.3"/>
    <x v="2"/>
    <x v="2"/>
  </r>
  <r>
    <x v="1"/>
    <x v="4"/>
    <s v="Uitvoeren handmatige test"/>
    <s v="Dubbelcheck gitmerge beide voor en na mergen."/>
    <d v="2025-12-02T00:00:00"/>
    <n v="0.3"/>
    <x v="2"/>
    <x v="2"/>
  </r>
  <r>
    <x v="0"/>
    <x v="1"/>
    <s v="Daily standup"/>
    <s v="Daily standup"/>
    <d v="2025-12-02T00:00:00"/>
    <n v="0.5"/>
    <x v="2"/>
    <x v="1"/>
  </r>
  <r>
    <x v="2"/>
    <x v="1"/>
    <s v="Daily standup"/>
    <s v="Daily standup"/>
    <d v="2025-12-02T00:00:00"/>
    <n v="0.5"/>
    <x v="2"/>
    <x v="1"/>
  </r>
  <r>
    <x v="3"/>
    <x v="1"/>
    <s v="Daily standup"/>
    <s v="Dailystandup"/>
    <d v="2025-12-02T00:00:00"/>
    <n v="0.5"/>
    <x v="2"/>
    <x v="1"/>
  </r>
  <r>
    <x v="1"/>
    <x v="5"/>
    <s v="Structureer code"/>
    <s v="Header grotendeels af"/>
    <d v="2025-12-03T00:00:00"/>
    <n v="2"/>
    <x v="2"/>
    <x v="2"/>
  </r>
  <r>
    <x v="2"/>
    <x v="1"/>
    <s v="Ondersteunen teamlid"/>
    <s v="Geholpen visual studio werkend te krijgen"/>
    <d v="2025-12-03T00:00:00"/>
    <n v="1.5"/>
    <x v="2"/>
    <x v="4"/>
  </r>
  <r>
    <x v="3"/>
    <x v="1"/>
    <s v="Prioriteren productbacklog"/>
    <s v="Workshop gevolgd "/>
    <d v="2025-12-03T00:00:00"/>
    <n v="2"/>
    <x v="2"/>
    <x v="0"/>
  </r>
  <r>
    <x v="1"/>
    <x v="1"/>
    <s v="Daily standup"/>
    <s v="Daily standup als scrummaster gehouden"/>
    <d v="2025-12-03T00:00:00"/>
    <n v="0.5"/>
    <x v="2"/>
    <x v="1"/>
  </r>
  <r>
    <x v="0"/>
    <x v="1"/>
    <s v="Daily standup"/>
    <s v="Daily standup"/>
    <d v="2025-12-03T00:00:00"/>
    <n v="0.5"/>
    <x v="2"/>
    <x v="1"/>
  </r>
  <r>
    <x v="2"/>
    <x v="1"/>
    <s v="Daily standup"/>
    <s v="Daily standup"/>
    <d v="2025-12-03T00:00:00"/>
    <n v="0.5"/>
    <x v="2"/>
    <x v="1"/>
  </r>
  <r>
    <x v="3"/>
    <x v="1"/>
    <s v="Daily standup"/>
    <s v="Dailystandup"/>
    <d v="2025-12-03T00:00:00"/>
    <n v="0.5"/>
    <x v="2"/>
    <x v="1"/>
  </r>
  <r>
    <x v="3"/>
    <x v="5"/>
    <s v="Spoor fouten op"/>
    <s v="Hele dag op school gezeten om mijn laptop VS te fixen."/>
    <d v="2025-12-03T00:00:00"/>
    <n v="6"/>
    <x v="2"/>
    <x v="2"/>
  </r>
  <r>
    <x v="1"/>
    <x v="5"/>
    <s v="Structureer code"/>
    <s v="Header compleet af"/>
    <d v="2025-12-04T00:00:00"/>
    <n v="1.5"/>
    <x v="2"/>
    <x v="2"/>
  </r>
  <r>
    <x v="3"/>
    <x v="5"/>
    <s v="Structureer code"/>
    <s v="Colour blind mode"/>
    <d v="2025-12-04T00:00:00"/>
    <n v="2"/>
    <x v="2"/>
    <x v="2"/>
  </r>
  <r>
    <x v="0"/>
    <x v="5"/>
    <s v="Structureer code"/>
    <s v="Code schoonmaken (clean architecture)"/>
    <d v="2025-12-04T00:00:00"/>
    <n v="6"/>
    <x v="2"/>
    <x v="2"/>
  </r>
  <r>
    <x v="2"/>
    <x v="5"/>
    <s v="Structureer code"/>
    <s v="Vervolg Oefentimer maken"/>
    <d v="2025-12-04T00:00:00"/>
    <n v="2.5"/>
    <x v="2"/>
    <x v="2"/>
  </r>
  <r>
    <x v="1"/>
    <x v="1"/>
    <s v="Daily standup"/>
    <s v="Daily standup als scrummaster gehouden"/>
    <d v="2025-12-04T00:00:00"/>
    <n v="0.5"/>
    <x v="2"/>
    <x v="1"/>
  </r>
  <r>
    <x v="1"/>
    <x v="2"/>
    <s v="Doorvoeren PR naar dev"/>
    <s v="Git merge (header)"/>
    <d v="2025-12-04T00:00:00"/>
    <n v="0.3"/>
    <x v="2"/>
    <x v="2"/>
  </r>
  <r>
    <x v="1"/>
    <x v="4"/>
    <s v="Uitvoeren handmatige test"/>
    <s v="Dubbelcheck gitmerge beide voor en na mergen."/>
    <d v="2025-12-04T00:00:00"/>
    <n v="0.3"/>
    <x v="2"/>
    <x v="2"/>
  </r>
  <r>
    <x v="0"/>
    <x v="1"/>
    <s v="Daily standup"/>
    <s v="Daily standup"/>
    <d v="2025-12-04T00:00:00"/>
    <n v="0.5"/>
    <x v="2"/>
    <x v="1"/>
  </r>
  <r>
    <x v="2"/>
    <x v="1"/>
    <s v="Daily standup"/>
    <s v="Daily standup"/>
    <d v="2025-12-04T00:00:00"/>
    <n v="0.5"/>
    <x v="2"/>
    <x v="1"/>
  </r>
  <r>
    <x v="3"/>
    <x v="1"/>
    <s v="Daily standup"/>
    <s v="Dailystandup"/>
    <d v="2025-12-04T00:00:00"/>
    <n v="0.5"/>
    <x v="2"/>
    <x v="1"/>
  </r>
  <r>
    <x v="0"/>
    <x v="1"/>
    <s v="Inzichtelijk maken voortgang"/>
    <s v="Teamoverleg dagelijks laatste twee weken met besprekingen over de voortgang, belemmeringen, problemen, oplossingen enz."/>
    <d v="2025-12-05T00:00:00"/>
    <n v="4"/>
    <x v="2"/>
    <x v="2"/>
  </r>
  <r>
    <x v="0"/>
    <x v="1"/>
    <s v="Monitoren voortgang sprintdoel"/>
    <s v="Monitoring voortgang, hulp aan anderen, testing enz."/>
    <d v="2025-12-05T00:00:00"/>
    <n v="2"/>
    <x v="2"/>
    <x v="2"/>
  </r>
  <r>
    <x v="2"/>
    <x v="5"/>
    <s v="Structureer code"/>
    <s v="Maken van oefentimer"/>
    <d v="2025-12-05T00:00:00"/>
    <n v="3"/>
    <x v="2"/>
    <x v="2"/>
  </r>
  <r>
    <x v="1"/>
    <x v="1"/>
    <s v="Ondersteunen teamlid"/>
    <s v="Hulp met git"/>
    <d v="2025-12-05T00:00:00"/>
    <n v="1"/>
    <x v="2"/>
    <x v="4"/>
  </r>
  <r>
    <x v="2"/>
    <x v="4"/>
    <s v="Uitvoeren handmatige test"/>
    <s v="Oefentimer compleet getest"/>
    <d v="2025-12-05T00:00:00"/>
    <n v="0.5"/>
    <x v="2"/>
    <x v="2"/>
  </r>
  <r>
    <x v="2"/>
    <x v="1"/>
    <s v="Oplossen belemmeringen"/>
    <s v="Originele foutieve code aangepast tot het huidige ontwerp"/>
    <d v="2025-12-05T00:00:00"/>
    <n v="0.5"/>
    <x v="2"/>
    <x v="2"/>
  </r>
  <r>
    <x v="1"/>
    <x v="1"/>
    <s v="Ondersteunen teamlid"/>
    <s v="Helpen merge conflict"/>
    <d v="2025-12-05T00:00:00"/>
    <n v="0.75"/>
    <x v="2"/>
    <x v="4"/>
  </r>
  <r>
    <x v="0"/>
    <x v="4"/>
    <s v="Uitvoeren handmatige test"/>
    <s v="Oefenpagina testen en Testrapportage invullen"/>
    <d v="2025-12-05T00:00:00"/>
    <n v="2"/>
    <x v="2"/>
    <x v="2"/>
  </r>
  <r>
    <x v="1"/>
    <x v="1"/>
    <s v="Ondersteunen teamlid"/>
    <s v="Helpen met last-minute test en merge"/>
    <d v="2025-12-05T00:00:00"/>
    <n v="0.75"/>
    <x v="2"/>
    <x v="4"/>
  </r>
  <r>
    <x v="1"/>
    <x v="1"/>
    <s v="Daily standup"/>
    <s v="Daily standup als scrummaster gehouden"/>
    <d v="2025-12-05T00:00:00"/>
    <n v="0.5"/>
    <x v="2"/>
    <x v="1"/>
  </r>
  <r>
    <x v="1"/>
    <x v="2"/>
    <s v="Doorvoeren PR naar dev"/>
    <s v="Git merge (timer van kai)"/>
    <d v="2025-12-05T00:00:00"/>
    <n v="0.5"/>
    <x v="2"/>
    <x v="2"/>
  </r>
  <r>
    <x v="1"/>
    <x v="2"/>
    <s v="Maken geversioneerde release"/>
    <s v="V0.3.0"/>
    <d v="2025-12-05T00:00:00"/>
    <n v="1"/>
    <x v="2"/>
    <x v="2"/>
  </r>
  <r>
    <x v="1"/>
    <x v="2"/>
    <s v="Doorvoeren PR naar dev"/>
    <s v="Git merge (undo main tot dev)"/>
    <d v="2025-12-05T00:00:00"/>
    <n v="0.5"/>
    <x v="2"/>
    <x v="2"/>
  </r>
  <r>
    <x v="1"/>
    <x v="4"/>
    <s v="Uitvoeren handmatige test"/>
    <s v="Dubbelcheck gitmerge beide voor en na mergen."/>
    <d v="2025-12-05T00:00:00"/>
    <n v="0.5"/>
    <x v="2"/>
    <x v="2"/>
  </r>
  <r>
    <x v="1"/>
    <x v="4"/>
    <s v="Uitvoeren handmatige test"/>
    <s v="Dubbelcheck gitmerge beide voor en na mergen."/>
    <d v="2025-12-05T00:00:00"/>
    <n v="0.5"/>
    <x v="2"/>
    <x v="2"/>
  </r>
  <r>
    <x v="1"/>
    <x v="2"/>
    <s v="Inlevering klaarmaken"/>
    <s v="Alles verzamelen, formuleren, dubbelchecken, inleveren."/>
    <d v="2025-12-05T00:00:00"/>
    <n v="2.5"/>
    <x v="2"/>
    <x v="1"/>
  </r>
  <r>
    <x v="0"/>
    <x v="1"/>
    <s v="Daily standup"/>
    <s v="Daily standup"/>
    <d v="2025-12-05T00:00:00"/>
    <n v="0.5"/>
    <x v="2"/>
    <x v="1"/>
  </r>
  <r>
    <x v="1"/>
    <x v="2"/>
    <s v="PO gesprek inplannen"/>
    <s v="Gesprek voor volgende week"/>
    <d v="2025-12-05T00:00:00"/>
    <n v="0.35"/>
    <x v="4"/>
    <x v="2"/>
  </r>
  <r>
    <x v="2"/>
    <x v="1"/>
    <s v="Daily standup"/>
    <s v="Daily standup"/>
    <d v="2025-12-05T00:00:00"/>
    <n v="0.5"/>
    <x v="2"/>
    <x v="1"/>
  </r>
  <r>
    <x v="3"/>
    <x v="1"/>
    <s v="Daily standup"/>
    <s v="Dailystandup"/>
    <d v="2025-12-05T00:00:00"/>
    <n v="0.5"/>
    <x v="2"/>
    <x v="1"/>
  </r>
  <r>
    <x v="0"/>
    <x v="1"/>
    <s v="Werk presenteren"/>
    <s v="Opstellen van een demo-presentatie Sprint 2"/>
    <d v="2025-12-06T00:00:00"/>
    <n v="1.5"/>
    <x v="4"/>
    <x v="4"/>
  </r>
  <r>
    <x v="1"/>
    <x v="1"/>
    <s v="Daily standup"/>
    <s v="Daily standup als scrummaster gehouden"/>
    <d v="2025-12-06T00:00:00"/>
    <n v="0.5"/>
    <x v="4"/>
    <x v="1"/>
  </r>
  <r>
    <x v="0"/>
    <x v="1"/>
    <s v="Daily standup"/>
    <s v="Daily standup"/>
    <d v="2025-12-06T00:00:00"/>
    <n v="0.5"/>
    <x v="4"/>
    <x v="1"/>
  </r>
  <r>
    <x v="2"/>
    <x v="1"/>
    <s v="Daily standup"/>
    <s v="Daily standup"/>
    <d v="2025-12-06T00:00:00"/>
    <n v="0.5"/>
    <x v="4"/>
    <x v="1"/>
  </r>
  <r>
    <x v="3"/>
    <x v="1"/>
    <s v="Daily standup"/>
    <s v="Dailystandup"/>
    <d v="2025-12-06T00:00:00"/>
    <n v="0.5"/>
    <x v="4"/>
    <x v="1"/>
  </r>
  <r>
    <x v="0"/>
    <x v="5"/>
    <s v="Controleer aansluiting ontwerp"/>
    <s v="Aanpassing en aanvulling van het Requirementsanalyse, het Functioneel ontwerp, het Technisch Ontwerp en het Testontwerp m.b.t. Sprint 3 (UC5-UC6)"/>
    <d v="2025-12-07T00:00:00"/>
    <n v="5"/>
    <x v="4"/>
    <x v="2"/>
  </r>
  <r>
    <x v="1"/>
    <x v="2"/>
    <s v="Maken geversioneerde release"/>
    <s v="Problemen met git gedeeltelijk oplossen, juiste versie van project terughalen en apart zetten."/>
    <d v="2025-12-07T00:00:00"/>
    <n v="3"/>
    <x v="4"/>
    <x v="2"/>
  </r>
  <r>
    <x v="1"/>
    <x v="1"/>
    <s v="Daily standup"/>
    <s v="Daily standup als scrummaster gehouden"/>
    <d v="2025-12-07T00:00:00"/>
    <n v="0.5"/>
    <x v="4"/>
    <x v="1"/>
  </r>
  <r>
    <x v="0"/>
    <x v="1"/>
    <s v="Daily standup"/>
    <s v="Daily standup"/>
    <d v="2025-12-07T00:00:00"/>
    <n v="0.5"/>
    <x v="4"/>
    <x v="1"/>
  </r>
  <r>
    <x v="1"/>
    <x v="1"/>
    <s v="Werk presenteren"/>
    <s v="Slides toevoegen, slides van anderen beter maken/oplossen"/>
    <d v="2025-12-07T00:00:00"/>
    <n v="1"/>
    <x v="4"/>
    <x v="4"/>
  </r>
  <r>
    <x v="2"/>
    <x v="1"/>
    <s v="Daily standup"/>
    <s v="Daily standup"/>
    <d v="2025-12-07T00:00:00"/>
    <n v="0.5"/>
    <x v="4"/>
    <x v="1"/>
  </r>
  <r>
    <x v="3"/>
    <x v="1"/>
    <s v="Daily standup"/>
    <s v="Dailystandup"/>
    <d v="2025-12-07T00:00:00"/>
    <n v="0.5"/>
    <x v="4"/>
    <x v="1"/>
  </r>
  <r>
    <x v="0"/>
    <x v="0"/>
    <s v="Organiseren requirements"/>
    <s v="Aanpassing en aanvulling de Requirementsanalyse aan de feedback en beoordeling Sprint 0-1"/>
    <d v="2025-12-08T00:00:00"/>
    <n v="3"/>
    <x v="4"/>
    <x v="1"/>
  </r>
  <r>
    <x v="0"/>
    <x v="5"/>
    <s v="Structureer code"/>
    <s v="Code schoonmaken (clean architecture)"/>
    <d v="2025-12-08T00:00:00"/>
    <n v="3"/>
    <x v="4"/>
    <x v="2"/>
  </r>
  <r>
    <x v="1"/>
    <x v="1"/>
    <s v="Daily standup"/>
    <s v="Daily standup als scrummaster gehouden"/>
    <d v="2025-12-08T00:00:00"/>
    <n v="0.5"/>
    <x v="4"/>
    <x v="1"/>
  </r>
  <r>
    <x v="0"/>
    <x v="1"/>
    <s v="Daily standup"/>
    <s v="Daily standup"/>
    <d v="2025-12-08T00:00:00"/>
    <n v="0.5"/>
    <x v="4"/>
    <x v="1"/>
  </r>
  <r>
    <x v="1"/>
    <x v="1"/>
    <s v="Werk presenteren"/>
    <s v="Presentatie en retrospective"/>
    <d v="2025-12-08T00:00:00"/>
    <n v="1.5"/>
    <x v="4"/>
    <x v="4"/>
  </r>
  <r>
    <x v="0"/>
    <x v="1"/>
    <s v="Werk presenteren"/>
    <s v="Presentatie"/>
    <d v="2025-12-08T00:00:00"/>
    <n v="0.5"/>
    <x v="4"/>
    <x v="4"/>
  </r>
  <r>
    <x v="1"/>
    <x v="1"/>
    <s v="Feedback geven"/>
    <s v="Feedback voor voortgangsdocument"/>
    <d v="2025-12-08T00:00:00"/>
    <n v="0.25"/>
    <x v="4"/>
    <x v="4"/>
  </r>
  <r>
    <x v="0"/>
    <x v="1"/>
    <s v="Feedback geven"/>
    <s v="Feedback voor voortgangsdocument"/>
    <d v="2025-12-08T00:00:00"/>
    <n v="0.25"/>
    <x v="4"/>
    <x v="4"/>
  </r>
  <r>
    <x v="1"/>
    <x v="1"/>
    <s v="Feedback ontvangen"/>
    <s v="Feedback voor voortgangsdocument"/>
    <d v="2025-12-08T00:00:00"/>
    <n v="0.25"/>
    <x v="4"/>
    <x v="4"/>
  </r>
  <r>
    <x v="0"/>
    <x v="1"/>
    <s v="Feedback ontvangen"/>
    <s v="Feedback voor voortgangsdocument"/>
    <d v="2025-12-08T00:00:00"/>
    <n v="0.25"/>
    <x v="4"/>
    <x v="4"/>
  </r>
  <r>
    <x v="1"/>
    <x v="2"/>
    <s v="PO gesprek inplannen"/>
    <s v="Gesprek voor deze week"/>
    <d v="2025-12-08T00:00:00"/>
    <n v="0.35"/>
    <x v="4"/>
    <x v="2"/>
  </r>
  <r>
    <x v="2"/>
    <x v="1"/>
    <s v="Werk presenteren"/>
    <s v="Presentatie en retrospective"/>
    <d v="2025-12-08T00:00:00"/>
    <n v="1.5"/>
    <x v="4"/>
    <x v="4"/>
  </r>
  <r>
    <x v="2"/>
    <x v="1"/>
    <s v="Feedback geven"/>
    <s v="Feedback voor voortgangsdocument"/>
    <d v="2025-12-08T00:00:00"/>
    <n v="0.25"/>
    <x v="4"/>
    <x v="4"/>
  </r>
  <r>
    <x v="2"/>
    <x v="1"/>
    <s v="Feedback ontvangen"/>
    <s v="Feedback voor voortgangsdocument"/>
    <d v="2025-12-08T00:00:00"/>
    <n v="0.25"/>
    <x v="4"/>
    <x v="4"/>
  </r>
  <r>
    <x v="2"/>
    <x v="1"/>
    <s v="Daily standup"/>
    <s v="Daily standup"/>
    <d v="2025-12-08T00:00:00"/>
    <n v="0.5"/>
    <x v="4"/>
    <x v="1"/>
  </r>
  <r>
    <x v="3"/>
    <x v="1"/>
    <s v="Daily standup"/>
    <s v="Dailystandup"/>
    <d v="2025-12-08T00:00:00"/>
    <n v="0.5"/>
    <x v="4"/>
    <x v="1"/>
  </r>
  <r>
    <x v="1"/>
    <x v="2"/>
    <s v="Inrichten .gitignore"/>
    <s v="Problemen met git opgelost"/>
    <d v="2025-12-09T00:00:00"/>
    <n v="3"/>
    <x v="4"/>
    <x v="1"/>
  </r>
  <r>
    <x v="0"/>
    <x v="0"/>
    <s v="Maken domeinmodel"/>
    <s v="Aanpassen FO v1.3.0: aanvullingen  conform beoordeling en feedback, aanpassing domeinmodel en domein- en ERD-diagrammen met beschrijvingen."/>
    <d v="2025-12-09T00:00:00"/>
    <n v="4"/>
    <x v="4"/>
    <x v="0"/>
  </r>
  <r>
    <x v="1"/>
    <x v="2"/>
    <s v="Inrichten .gitignore"/>
    <s v="Onderzoek gedaan naar wat er nodig is voor agile in scrum toepassen. Workflow gemaakt, maar testen missen nog."/>
    <d v="2025-12-09T00:00:00"/>
    <n v="2"/>
    <x v="4"/>
    <x v="1"/>
  </r>
  <r>
    <x v="1"/>
    <x v="1"/>
    <s v="Ondersteunen teamlid"/>
    <s v="Hulp met merge conflict "/>
    <d v="2025-12-09T00:00:00"/>
    <n v="0.5"/>
    <x v="4"/>
    <x v="4"/>
  </r>
  <r>
    <x v="0"/>
    <x v="5"/>
    <s v="Structureer code"/>
    <s v="Backspace niet laten werken en handeling maken voor dubbel space en andere symbolen. Code vervijnen. Feedback verwerken."/>
    <d v="2025-12-09T00:00:00"/>
    <n v="4"/>
    <x v="4"/>
    <x v="2"/>
  </r>
  <r>
    <x v="0"/>
    <x v="5"/>
    <s v="Controleer aansluiting ontwerp"/>
    <s v="Bijwerken Testontwerp v1.3.0 en weghalen van gebrekken n.a.v. beoordeling Sprint 0-1"/>
    <d v="2025-12-09T00:00:00"/>
    <n v="2"/>
    <x v="4"/>
    <x v="2"/>
  </r>
  <r>
    <x v="0"/>
    <x v="4"/>
    <s v="Opstellen schriftelijke testcase"/>
    <s v="Herschrijven het Testontwerp n.a.v. beoordeling en feedback Sprint 0-1"/>
    <d v="2025-12-09T00:00:00"/>
    <n v="2"/>
    <x v="4"/>
    <x v="2"/>
  </r>
  <r>
    <x v="1"/>
    <x v="1"/>
    <s v="Daily standup"/>
    <s v="Daily standup als scrummaster gehouden"/>
    <d v="2025-12-09T00:00:00"/>
    <n v="0.5"/>
    <x v="4"/>
    <x v="1"/>
  </r>
  <r>
    <x v="0"/>
    <x v="1"/>
    <s v="Daily standup"/>
    <s v="Daily standup"/>
    <d v="2025-12-09T00:00:00"/>
    <n v="0.5"/>
    <x v="4"/>
    <x v="1"/>
  </r>
  <r>
    <x v="0"/>
    <x v="2"/>
    <s v="Inlevering klaarmaken"/>
    <s v="Voortgangsdocument, persoonlijk / teamsreprospectief klaar maken"/>
    <d v="2025-12-09T00:00:00"/>
    <n v="1.5"/>
    <x v="4"/>
    <x v="1"/>
  </r>
  <r>
    <x v="2"/>
    <x v="1"/>
    <s v="Daily standup"/>
    <s v="Daily standup"/>
    <d v="2025-12-09T00:00:00"/>
    <n v="0.5"/>
    <x v="4"/>
    <x v="1"/>
  </r>
  <r>
    <x v="3"/>
    <x v="0"/>
    <s v="Kiezen user stories"/>
    <s v="Opdracht uitzoeken en bespreken"/>
    <d v="2025-12-09T00:00:00"/>
    <n v="0.5"/>
    <x v="4"/>
    <x v="0"/>
  </r>
  <r>
    <x v="3"/>
    <x v="1"/>
    <s v="Daily standup"/>
    <s v="Dailystandup"/>
    <d v="2025-12-09T00:00:00"/>
    <n v="0.5"/>
    <x v="4"/>
    <x v="1"/>
  </r>
  <r>
    <x v="1"/>
    <x v="1"/>
    <s v="Daily standup"/>
    <s v="Daily standup als scrummaster gehouden"/>
    <d v="2025-12-10T00:00:00"/>
    <n v="0.5"/>
    <x v="4"/>
    <x v="1"/>
  </r>
  <r>
    <x v="0"/>
    <x v="1"/>
    <s v="Daily standup"/>
    <s v="Daily standup"/>
    <d v="2025-12-10T00:00:00"/>
    <n v="0.5"/>
    <x v="4"/>
    <x v="1"/>
  </r>
  <r>
    <x v="0"/>
    <x v="4"/>
    <s v="Evalueren testresultaat"/>
    <s v="Aanpassen Testrapportage v1.3.0"/>
    <d v="2025-12-10T00:00:00"/>
    <n v="2"/>
    <x v="4"/>
    <x v="4"/>
  </r>
  <r>
    <x v="2"/>
    <x v="5"/>
    <s v="Structureer code"/>
    <s v="Geprobeerd light/dark mode te implementeren. Mislukt."/>
    <d v="2025-12-10T00:00:00"/>
    <n v="5.5"/>
    <x v="4"/>
    <x v="2"/>
  </r>
  <r>
    <x v="0"/>
    <x v="0"/>
    <s v="Uitvragen requirements"/>
    <s v="Overleg met PO"/>
    <d v="2025-12-10T00:00:00"/>
    <n v="0.5"/>
    <x v="4"/>
    <x v="0"/>
  </r>
  <r>
    <x v="0"/>
    <x v="1"/>
    <s v="Oplossen belemmeringen"/>
    <s v="Overleg met team"/>
    <d v="2025-12-10T00:00:00"/>
    <n v="1.5"/>
    <x v="4"/>
    <x v="2"/>
  </r>
  <r>
    <x v="3"/>
    <x v="1"/>
    <s v="Oplossen belemmeringen"/>
    <s v="Daily standup met Team en Po"/>
    <d v="2025-12-10T00:00:00"/>
    <n v="2"/>
    <x v="4"/>
    <x v="2"/>
  </r>
  <r>
    <x v="2"/>
    <x v="1"/>
    <s v="Daily standup"/>
    <s v="Daily standup"/>
    <d v="2025-12-10T00:00:00"/>
    <n v="0.5"/>
    <x v="4"/>
    <x v="1"/>
  </r>
  <r>
    <x v="2"/>
    <x v="0"/>
    <s v="Uitvragen requirements"/>
    <s v="Overleg met PO"/>
    <d v="2025-12-10T00:00:00"/>
    <n v="0.5"/>
    <x v="4"/>
    <x v="0"/>
  </r>
  <r>
    <x v="3"/>
    <x v="1"/>
    <s v="Toevoegen taken aan user story"/>
    <s v="Trello naar Github overzetten"/>
    <d v="2025-12-10T00:00:00"/>
    <n v="0.75"/>
    <x v="4"/>
    <x v="0"/>
  </r>
  <r>
    <x v="3"/>
    <x v="0"/>
    <s v="Vastleggen requirements"/>
    <s v="Opstellen productafspraken en verwerken in een document"/>
    <d v="2025-12-10T00:00:00"/>
    <n v="0.5"/>
    <x v="4"/>
    <x v="0"/>
  </r>
  <r>
    <x v="3"/>
    <x v="1"/>
    <s v="Daily standup"/>
    <s v="Dailystandup"/>
    <d v="2025-12-10T00:00:00"/>
    <n v="0.5"/>
    <x v="4"/>
    <x v="1"/>
  </r>
  <r>
    <x v="1"/>
    <x v="1"/>
    <s v="Daily standup"/>
    <s v="Daily standup als scrummaster gehouden"/>
    <d v="2025-12-11T00:00:00"/>
    <n v="0.5"/>
    <x v="4"/>
    <x v="1"/>
  </r>
  <r>
    <x v="1"/>
    <x v="4"/>
    <s v="Selecteren testsoort"/>
    <s v="Unit tests selecteren en proberen te implementeren"/>
    <d v="2025-12-11T00:00:00"/>
    <n v="2.5"/>
    <x v="4"/>
    <x v="3"/>
  </r>
  <r>
    <x v="1"/>
    <x v="3"/>
    <s v="Iteratief verfijnen ontwerp"/>
    <s v="Project aan het opschonen en werken aan clean architecture"/>
    <d v="2025-12-11T00:00:00"/>
    <n v="3"/>
    <x v="4"/>
    <x v="3"/>
  </r>
  <r>
    <x v="2"/>
    <x v="5"/>
    <s v="Structureer code"/>
    <s v="Resultatenpagina maken 1/3"/>
    <d v="2025-12-11T00:00:00"/>
    <n v="2.5"/>
    <x v="4"/>
    <x v="2"/>
  </r>
  <r>
    <x v="0"/>
    <x v="1"/>
    <s v="Daily standup"/>
    <s v="Daily standup"/>
    <d v="2025-12-11T00:00:00"/>
    <n v="0.5"/>
    <x v="4"/>
    <x v="1"/>
  </r>
  <r>
    <x v="0"/>
    <x v="1"/>
    <s v="Ondersteunen teamlid"/>
    <s v="Help teamlid bij tijdregistratie en scrumproces"/>
    <d v="2025-12-11T00:00:00"/>
    <n v="0.2"/>
    <x v="4"/>
    <x v="4"/>
  </r>
  <r>
    <x v="3"/>
    <x v="1"/>
    <s v="Daily standup"/>
    <s v="Daily standup"/>
    <d v="2025-12-11T00:00:00"/>
    <n v="0.5"/>
    <x v="4"/>
    <x v="1"/>
  </r>
  <r>
    <x v="1"/>
    <x v="2"/>
    <s v="PO gesprek inplannen"/>
    <s v="Gesprek voor volgende week"/>
    <d v="2025-12-11T00:00:00"/>
    <n v="0.35"/>
    <x v="4"/>
    <x v="2"/>
  </r>
  <r>
    <x v="3"/>
    <x v="5"/>
    <s v="Structureer code"/>
    <s v="Kleurenblind modus"/>
    <d v="2025-12-11T00:00:00"/>
    <n v="4"/>
    <x v="4"/>
    <x v="2"/>
  </r>
  <r>
    <x v="1"/>
    <x v="1"/>
    <s v="Daily standup"/>
    <s v="Daily standup als scrummaster gehouden"/>
    <d v="2025-12-12T00:00:00"/>
    <n v="0.75"/>
    <x v="4"/>
    <x v="1"/>
  </r>
  <r>
    <x v="2"/>
    <x v="1"/>
    <s v="Daily standup"/>
    <s v="Daily standup"/>
    <d v="2025-12-12T00:00:00"/>
    <n v="0.75"/>
    <x v="4"/>
    <x v="1"/>
  </r>
  <r>
    <x v="3"/>
    <x v="1"/>
    <s v="Daily standup"/>
    <s v="Daily standup"/>
    <d v="2025-12-12T00:00:00"/>
    <n v="0.75"/>
    <x v="4"/>
    <x v="1"/>
  </r>
  <r>
    <x v="0"/>
    <x v="1"/>
    <s v="Daily standup"/>
    <s v="Daily standup"/>
    <d v="2025-12-12T00:00:00"/>
    <n v="0.75"/>
    <x v="4"/>
    <x v="1"/>
  </r>
  <r>
    <x v="1"/>
    <x v="3"/>
    <s v="Iteratief verfijnen ontwerp"/>
    <s v="Project verder opschonen en clean architecture klaar om te testen"/>
    <d v="2025-12-12T00:00:00"/>
    <n v="2.75"/>
    <x v="4"/>
    <x v="3"/>
  </r>
  <r>
    <x v="1"/>
    <x v="4"/>
    <s v="Uitvoeren handmatige test"/>
    <s v="Clean architecture getest"/>
    <d v="2025-12-12T00:00:00"/>
    <n v="0.75"/>
    <x v="4"/>
    <x v="2"/>
  </r>
  <r>
    <x v="1"/>
    <x v="1"/>
    <s v="Prioriteren productbacklog"/>
    <s v="Sorteren github backlog"/>
    <d v="2025-12-12T00:00:00"/>
    <n v="0.15"/>
    <x v="4"/>
    <x v="0"/>
  </r>
  <r>
    <x v="0"/>
    <x v="4"/>
    <s v="Uitvoeren handmatige test"/>
    <s v="Clean architecture v2 getest"/>
    <d v="2025-12-12T00:00:00"/>
    <n v="0.25"/>
    <x v="4"/>
    <x v="2"/>
  </r>
  <r>
    <x v="0"/>
    <x v="2"/>
    <s v="Mergen feature met PR"/>
    <s v="feature/no_backspace en feature/geen_symbolen gemerged met dev"/>
    <d v="2025-12-12T00:00:00"/>
    <n v="0.25"/>
    <x v="4"/>
    <x v="2"/>
  </r>
  <r>
    <x v="3"/>
    <x v="3"/>
    <s v="Uitleg werking systeem"/>
    <s v="Uitleggen en oplossen wat mijn code doet"/>
    <d v="2025-12-12T00:00:00"/>
    <n v="4"/>
    <x v="4"/>
    <x v="3"/>
  </r>
  <r>
    <x v="3"/>
    <x v="1"/>
    <s v="Reviewen werk"/>
    <s v="Reviewen werk"/>
    <d v="2025-12-12T00:00:00"/>
    <n v="0.5"/>
    <x v="4"/>
    <x v="2"/>
  </r>
  <r>
    <x v="1"/>
    <x v="1"/>
    <s v="Daily standup"/>
    <s v="Daily standup"/>
    <d v="2025-12-13T00:00:00"/>
    <n v="0.4"/>
    <x v="4"/>
    <x v="1"/>
  </r>
  <r>
    <x v="0"/>
    <x v="1"/>
    <s v="Daily standup"/>
    <s v="Daily standup"/>
    <d v="2025-12-13T00:00:00"/>
    <n v="0.4"/>
    <x v="4"/>
    <x v="1"/>
  </r>
  <r>
    <x v="1"/>
    <x v="3"/>
    <s v="Iteratief verfijnen ontwerp"/>
    <s v="Clean architecture afmaken"/>
    <d v="2025-12-13T00:00:00"/>
    <n v="0.25"/>
    <x v="4"/>
    <x v="3"/>
  </r>
  <r>
    <x v="1"/>
    <x v="2"/>
    <s v="Mergen feature met PR"/>
    <s v="Clean architecture naar develop"/>
    <d v="2025-12-13T00:00:00"/>
    <n v="0.35"/>
    <x v="4"/>
    <x v="2"/>
  </r>
  <r>
    <x v="1"/>
    <x v="4"/>
    <s v="Uitvoeren handmatige test"/>
    <s v="Clean architecture merge testen"/>
    <d v="2025-12-13T00:00:00"/>
    <n v="0.35"/>
    <x v="4"/>
    <x v="2"/>
  </r>
  <r>
    <x v="1"/>
    <x v="4"/>
    <s v="Verzamelen testscenarios"/>
    <s v="Verzamelen testcases"/>
    <d v="2025-12-13T00:00:00"/>
    <n v="0.75"/>
    <x v="4"/>
    <x v="3"/>
  </r>
  <r>
    <x v="1"/>
    <x v="5"/>
    <s v="Structureer code"/>
    <s v="Testproject en testen maken"/>
    <d v="2025-12-13T00:00:00"/>
    <n v="2"/>
    <x v="4"/>
    <x v="2"/>
  </r>
  <r>
    <x v="1"/>
    <x v="4"/>
    <s v="Uitvoeren geautomatiseerde test"/>
    <s v="Pipeline tests"/>
    <d v="2025-12-13T00:00:00"/>
    <n v="0.5"/>
    <x v="4"/>
    <x v="2"/>
  </r>
  <r>
    <x v="1"/>
    <x v="2"/>
    <s v="Testen in pipeline"/>
    <s v="Pipeline werkend krijgen"/>
    <d v="2025-12-13T00:00:00"/>
    <n v="1.5"/>
    <x v="4"/>
    <x v="1"/>
  </r>
  <r>
    <x v="2"/>
    <x v="5"/>
    <s v="Structureer code"/>
    <s v="Resultaten pagina maken 2/3"/>
    <d v="2025-12-13T00:00:00"/>
    <n v="5.5"/>
    <x v="4"/>
    <x v="2"/>
  </r>
  <r>
    <x v="3"/>
    <x v="1"/>
    <s v="Daily standup"/>
    <s v="DAILy standup   "/>
    <d v="2025-12-13T00:00:00"/>
    <n v="0.5"/>
    <x v="4"/>
    <x v="1"/>
  </r>
  <r>
    <x v="1"/>
    <x v="1"/>
    <s v="Daily standup"/>
    <s v="Daily standup als scrummaster gehouden"/>
    <d v="2025-12-14T00:00:00"/>
    <n v="0.75"/>
    <x v="4"/>
    <x v="1"/>
  </r>
  <r>
    <x v="0"/>
    <x v="1"/>
    <s v="Daily standup"/>
    <s v="Daily standup"/>
    <d v="2025-12-14T00:00:00"/>
    <n v="0.75"/>
    <x v="4"/>
    <x v="1"/>
  </r>
  <r>
    <x v="2"/>
    <x v="1"/>
    <s v="Daily standup"/>
    <s v="Daily standup"/>
    <d v="2025-12-14T00:00:00"/>
    <n v="0.75"/>
    <x v="4"/>
    <x v="1"/>
  </r>
  <r>
    <x v="3"/>
    <x v="1"/>
    <s v="Daily standup"/>
    <s v="Daily standup"/>
    <d v="2025-12-14T00:00:00"/>
    <n v="0.75"/>
    <x v="4"/>
    <x v="1"/>
  </r>
  <r>
    <x v="1"/>
    <x v="1"/>
    <s v="Ondersteunen teamlid"/>
    <s v="Hulp met resultaten pagina"/>
    <d v="2025-12-14T00:00:00"/>
    <n v="1"/>
    <x v="4"/>
    <x v="4"/>
  </r>
  <r>
    <x v="0"/>
    <x v="1"/>
    <s v="Ondersteunen teamlid"/>
    <s v="Hulp met resultaten pagina"/>
    <d v="2025-12-14T00:00:00"/>
    <n v="0.5"/>
    <x v="4"/>
    <x v="4"/>
  </r>
  <r>
    <x v="2"/>
    <x v="5"/>
    <s v="Voer oplossing door"/>
    <s v="Resultaten pagina toevoegen"/>
    <d v="2025-12-14T00:00:00"/>
    <n v="1"/>
    <x v="4"/>
    <x v="2"/>
  </r>
  <r>
    <x v="2"/>
    <x v="5"/>
    <s v="Structureer code"/>
    <s v="Resultaten pagina maken 3/3"/>
    <d v="2025-12-14T00:00:00"/>
    <n v="4.5"/>
    <x v="4"/>
    <x v="2"/>
  </r>
  <r>
    <x v="1"/>
    <x v="1"/>
    <s v="Ondersteunen teamlid"/>
    <s v="Hulp met merge en tijdschrijf"/>
    <d v="2025-12-14T00:00:00"/>
    <n v="0.5"/>
    <x v="4"/>
    <x v="4"/>
  </r>
  <r>
    <x v="1"/>
    <x v="4"/>
    <s v="Uitvoeren handmatige test"/>
    <s v="Testen resultaten"/>
    <d v="2025-12-14T00:00:00"/>
    <n v="0.25"/>
    <x v="4"/>
    <x v="2"/>
  </r>
  <r>
    <x v="3"/>
    <x v="5"/>
    <s v="Structureer code"/>
    <s v="Kleurenblind modus"/>
    <d v="2025-12-14T00:00:00"/>
    <n v="5"/>
    <x v="4"/>
    <x v="2"/>
  </r>
  <r>
    <x v="0"/>
    <x v="3"/>
    <s v="Iteratief verfijnen ontwerp"/>
    <s v="Double spacing toevoegen"/>
    <d v="2025-12-15T00:00:00"/>
    <n v="0.5"/>
    <x v="4"/>
    <x v="3"/>
  </r>
  <r>
    <x v="0"/>
    <x v="2"/>
    <s v="Maken feature branch"/>
    <s v="feature/double-spacing aangemaakt"/>
    <d v="2025-12-15T00:00:00"/>
    <n v="0.05"/>
    <x v="4"/>
    <x v="2"/>
  </r>
  <r>
    <x v="1"/>
    <x v="1"/>
    <s v="Daily standup"/>
    <s v="Daily standup als scrummaster gehouden"/>
    <d v="2025-12-15T00:00:00"/>
    <n v="1.5"/>
    <x v="4"/>
    <x v="1"/>
  </r>
  <r>
    <x v="0"/>
    <x v="1"/>
    <s v="Daily standup"/>
    <s v="Daily standup"/>
    <d v="2025-12-15T00:00:00"/>
    <n v="1.5"/>
    <x v="4"/>
    <x v="1"/>
  </r>
  <r>
    <x v="2"/>
    <x v="1"/>
    <s v="Daily standup"/>
    <s v="Daily standup"/>
    <d v="2025-12-15T00:00:00"/>
    <n v="1.5"/>
    <x v="4"/>
    <x v="1"/>
  </r>
  <r>
    <x v="3"/>
    <x v="1"/>
    <s v="Daily standup"/>
    <s v="Daily standup"/>
    <d v="2025-12-15T00:00:00"/>
    <n v="0.5"/>
    <x v="4"/>
    <x v="1"/>
  </r>
  <r>
    <x v="0"/>
    <x v="3"/>
    <s v="Iteratief verfijnen ontwerp"/>
    <s v="Negatief accuratie gefixt"/>
    <d v="2025-12-15T00:00:00"/>
    <n v="0.75"/>
    <x v="4"/>
    <x v="3"/>
  </r>
  <r>
    <x v="0"/>
    <x v="2"/>
    <s v="Maken feature branch"/>
    <s v="hotfix/negatief-accuratie aangemaakt"/>
    <d v="2025-12-15T00:00:00"/>
    <n v="0.05"/>
    <x v="4"/>
    <x v="2"/>
  </r>
  <r>
    <x v="0"/>
    <x v="2"/>
    <s v="Doorvoeren PR naar dev"/>
    <s v="feature/double-spacing met dev gemerged"/>
    <d v="2025-12-15T00:00:00"/>
    <n v="0.05"/>
    <x v="4"/>
    <x v="2"/>
  </r>
  <r>
    <x v="0"/>
    <x v="2"/>
    <s v="Doorvoeren PR naar dev"/>
    <s v="hotfix/negatief-accuratie met dev gemerged"/>
    <d v="2025-12-15T00:00:00"/>
    <n v="0.05"/>
    <x v="4"/>
    <x v="2"/>
  </r>
  <r>
    <x v="3"/>
    <x v="5"/>
    <s v="Structureer code"/>
    <s v="Kleurenblind modus"/>
    <d v="2025-12-15T00:00:00"/>
    <n v="3"/>
    <x v="4"/>
    <x v="2"/>
  </r>
  <r>
    <x v="3"/>
    <x v="1"/>
    <s v="Opstellen geautomatiseerde test"/>
    <s v="Kleurenblind modus testen"/>
    <d v="2025-12-15T00:00:00"/>
    <n v="0.5"/>
    <x v="4"/>
    <x v="2"/>
  </r>
  <r>
    <x v="1"/>
    <x v="1"/>
    <s v="Oplossen belemmeringen"/>
    <s v="Gesprek PO"/>
    <d v="2025-12-16T00:00:00"/>
    <n v="1"/>
    <x v="4"/>
    <x v="2"/>
  </r>
  <r>
    <x v="0"/>
    <x v="1"/>
    <s v="Oplossen belemmeringen"/>
    <s v="Gesprek PO"/>
    <d v="2025-12-16T00:00:00"/>
    <n v="1"/>
    <x v="4"/>
    <x v="2"/>
  </r>
  <r>
    <x v="2"/>
    <x v="1"/>
    <s v="Oplossen belemmeringen"/>
    <s v="Gesprek PO"/>
    <d v="2025-12-16T00:00:00"/>
    <n v="1"/>
    <x v="4"/>
    <x v="2"/>
  </r>
  <r>
    <x v="3"/>
    <x v="1"/>
    <s v="Oplossen belemmeringen"/>
    <s v="Gesprek PO"/>
    <d v="2025-12-16T00:00:00"/>
    <n v="1"/>
    <x v="4"/>
    <x v="2"/>
  </r>
  <r>
    <x v="1"/>
    <x v="1"/>
    <s v="Daily standup"/>
    <s v="Daily standup als scrummaster gehouden"/>
    <d v="2025-12-16T00:00:00"/>
    <n v="1"/>
    <x v="4"/>
    <x v="1"/>
  </r>
  <r>
    <x v="0"/>
    <x v="1"/>
    <s v="Daily standup"/>
    <s v="Daily standup"/>
    <d v="2025-12-16T00:00:00"/>
    <n v="1"/>
    <x v="4"/>
    <x v="1"/>
  </r>
  <r>
    <x v="2"/>
    <x v="1"/>
    <s v="Daily standup"/>
    <s v="Daily standup"/>
    <d v="2025-12-16T00:00:00"/>
    <n v="1"/>
    <x v="4"/>
    <x v="1"/>
  </r>
  <r>
    <x v="3"/>
    <x v="1"/>
    <s v="Daily standup"/>
    <s v="Daily standup"/>
    <d v="2025-12-16T00:00:00"/>
    <n v="1"/>
    <x v="4"/>
    <x v="1"/>
  </r>
  <r>
    <x v="1"/>
    <x v="1"/>
    <s v="Kiezen user stories"/>
    <s v="User stories opzetten voor UC3"/>
    <d v="2025-12-16T00:00:00"/>
    <n v="1"/>
    <x v="4"/>
    <x v="0"/>
  </r>
  <r>
    <x v="2"/>
    <x v="1"/>
    <s v="Kiezen user stories"/>
    <s v="User stories opzetten voor UC3"/>
    <d v="2025-12-16T00:00:00"/>
    <n v="2"/>
    <x v="4"/>
    <x v="0"/>
  </r>
  <r>
    <x v="2"/>
    <x v="0"/>
    <s v="Bestuderen  probleemstelling"/>
    <s v="Doorlezen functioneel ontwerp"/>
    <d v="2025-12-16T00:00:00"/>
    <n v="1.2"/>
    <x v="4"/>
    <x v="0"/>
  </r>
  <r>
    <x v="3"/>
    <x v="0"/>
    <s v="Vastleggen requirements"/>
    <s v="Opstellen productafspraken en verwerken in een document"/>
    <d v="2025-12-16T00:00:00"/>
    <n v="0.5"/>
    <x v="4"/>
    <x v="0"/>
  </r>
  <r>
    <x v="3"/>
    <x v="7"/>
    <s v="Noteren actiepunten"/>
    <s v="Noteren actiepunten en uitbreiden in een document."/>
    <d v="2025-12-16T00:00:00"/>
    <n v="1"/>
    <x v="4"/>
    <x v="4"/>
  </r>
  <r>
    <x v="1"/>
    <x v="1"/>
    <s v="Daily standup"/>
    <s v="Daily standup als scrummaster gehouden"/>
    <d v="2025-12-17T00:00:00"/>
    <n v="0.75"/>
    <x v="4"/>
    <x v="1"/>
  </r>
  <r>
    <x v="0"/>
    <x v="1"/>
    <s v="Daily standup"/>
    <s v="Daily standup"/>
    <d v="2025-12-17T00:00:00"/>
    <n v="0.75"/>
    <x v="4"/>
    <x v="1"/>
  </r>
  <r>
    <x v="2"/>
    <x v="1"/>
    <s v="Daily standup"/>
    <s v="Daily standup"/>
    <d v="2025-12-17T00:00:00"/>
    <n v="0.75"/>
    <x v="4"/>
    <x v="1"/>
  </r>
  <r>
    <x v="1"/>
    <x v="1"/>
    <s v="Kiezen user stories"/>
    <s v="User stories sorteren en verbeteren"/>
    <d v="2025-12-17T00:00:00"/>
    <n v="0.75"/>
    <x v="4"/>
    <x v="0"/>
  </r>
  <r>
    <x v="1"/>
    <x v="8"/>
    <m/>
    <s v="ziek"/>
    <d v="2025-12-17T00:00:00"/>
    <m/>
    <x v="4"/>
    <x v="6"/>
  </r>
  <r>
    <x v="2"/>
    <x v="5"/>
    <s v="Structureer code"/>
    <s v="beste wpm gemaakt 1/2"/>
    <d v="2025-12-17T00:00:00"/>
    <n v="1"/>
    <x v="4"/>
    <x v="2"/>
  </r>
  <r>
    <x v="3"/>
    <x v="1"/>
    <s v="Toevoegen taken aan user story"/>
    <s v="Toevoegen taken aan user story"/>
    <d v="2025-12-17T00:00:00"/>
    <n v="0.75"/>
    <x v="4"/>
    <x v="0"/>
  </r>
  <r>
    <x v="0"/>
    <x v="1"/>
    <s v="Toevoegen taken aan user story"/>
    <s v="Toevoegen verschillende user stories aan Epic's"/>
    <d v="2025-12-17T00:00:00"/>
    <n v="0.5"/>
    <x v="4"/>
    <x v="0"/>
  </r>
  <r>
    <x v="3"/>
    <x v="1"/>
    <s v="Daily standup"/>
    <s v="Dailystandup"/>
    <d v="2025-12-17T00:00:00"/>
    <n v="0.5"/>
    <x v="4"/>
    <x v="1"/>
  </r>
  <r>
    <x v="3"/>
    <x v="1"/>
    <s v="Reviewen werk"/>
    <s v="Reviewen werk en aanpassen"/>
    <d v="2025-12-17T00:00:00"/>
    <n v="2"/>
    <x v="4"/>
    <x v="2"/>
  </r>
  <r>
    <x v="3"/>
    <x v="4"/>
    <s v="Uitvoeren handmatige test"/>
    <s v="Uitvoeren na merge"/>
    <d v="2025-12-17T00:00:00"/>
    <n v="0.5"/>
    <x v="4"/>
    <x v="2"/>
  </r>
  <r>
    <x v="3"/>
    <x v="2"/>
    <s v="Inrichten .gitignore"/>
    <s v=".gitignore aanpassen (teveel local files)"/>
    <d v="2025-12-17T00:00:00"/>
    <n v="0.5"/>
    <x v="4"/>
    <x v="1"/>
  </r>
  <r>
    <x v="1"/>
    <x v="1"/>
    <s v="Daily standup"/>
    <s v="Daily standup als scrummaster gehouden"/>
    <d v="2025-12-18T00:00:00"/>
    <n v="0.5"/>
    <x v="4"/>
    <x v="1"/>
  </r>
  <r>
    <x v="1"/>
    <x v="1"/>
    <s v="Ondersteunen teamlid"/>
    <s v="Hulp met merge"/>
    <d v="2025-12-18T00:00:00"/>
    <n v="0.75"/>
    <x v="4"/>
    <x v="4"/>
  </r>
  <r>
    <x v="1"/>
    <x v="8"/>
    <m/>
    <s v="ziek"/>
    <d v="2025-12-18T00:00:00"/>
    <m/>
    <x v="4"/>
    <x v="6"/>
  </r>
  <r>
    <x v="2"/>
    <x v="1"/>
    <s v="Daily standup"/>
    <s v="Daily standup"/>
    <d v="2025-12-18T00:00:00"/>
    <n v="1"/>
    <x v="4"/>
    <x v="1"/>
  </r>
  <r>
    <x v="2"/>
    <x v="5"/>
    <s v="Structureer code"/>
    <s v="beste wpm gemaakt 2/2"/>
    <d v="2025-12-18T00:00:00"/>
    <n v="0.5"/>
    <x v="4"/>
    <x v="2"/>
  </r>
  <r>
    <x v="2"/>
    <x v="5"/>
    <s v="Structureer code"/>
    <s v="selectie moeilijkheid gemaakt"/>
    <d v="2025-12-18T00:00:00"/>
    <n v="1.5"/>
    <x v="4"/>
    <x v="2"/>
  </r>
  <r>
    <x v="0"/>
    <x v="1"/>
    <s v="Daily standup"/>
    <s v="Daily standup"/>
    <d v="2025-12-18T00:00:00"/>
    <n v="1"/>
    <x v="4"/>
    <x v="1"/>
  </r>
  <r>
    <x v="3"/>
    <x v="1"/>
    <s v="Daily standup"/>
    <s v="Daily standup"/>
    <d v="2025-12-18T00:00:00"/>
    <n v="1"/>
    <x v="4"/>
    <x v="1"/>
  </r>
  <r>
    <x v="0"/>
    <x v="1"/>
    <s v="Ondersteunen teamlid"/>
    <s v="Hulp met merge conflict"/>
    <d v="2025-12-18T00:00:00"/>
    <n v="0.25"/>
    <x v="4"/>
    <x v="4"/>
  </r>
  <r>
    <x v="3"/>
    <x v="5"/>
    <s v="Structureer code"/>
    <s v="Grotere tekst "/>
    <d v="2025-12-18T00:00:00"/>
    <n v="4"/>
    <x v="4"/>
    <x v="2"/>
  </r>
  <r>
    <x v="3"/>
    <x v="4"/>
    <s v="Peerreviewen code"/>
    <s v="Samen naar code kijken"/>
    <d v="2025-12-18T00:00:00"/>
    <n v="0.5"/>
    <x v="4"/>
    <x v="2"/>
  </r>
  <r>
    <x v="3"/>
    <x v="4"/>
    <s v="Uitvoeren handmatige test"/>
    <s v="Handmatige test"/>
    <d v="2025-12-18T00:00:00"/>
    <n v="0.5"/>
    <x v="4"/>
    <x v="2"/>
  </r>
  <r>
    <x v="3"/>
    <x v="4"/>
    <s v="Uitvoeren geautomatiseerde test"/>
    <s v="Geautomatiseerde test uitvoeren"/>
    <d v="2025-12-18T00:00:00"/>
    <n v="0.2"/>
    <x v="4"/>
    <x v="2"/>
  </r>
  <r>
    <x v="3"/>
    <x v="1"/>
    <s v="Reviewen werk"/>
    <s v="Reviewen werk en aanpassen"/>
    <d v="2025-12-18T00:00:00"/>
    <n v="2"/>
    <x v="4"/>
    <x v="2"/>
  </r>
  <r>
    <x v="3"/>
    <x v="5"/>
    <s v="Structureer code"/>
    <s v="Grotere tekst "/>
    <d v="2025-12-19T00:00:00"/>
    <n v="2"/>
    <x v="4"/>
    <x v="2"/>
  </r>
  <r>
    <x v="3"/>
    <x v="5"/>
    <s v="Structureer code"/>
    <s v="Merge conflict oplossen grotere tekst"/>
    <d v="2025-12-19T00:00:00"/>
    <n v="0.75"/>
    <x v="4"/>
    <x v="2"/>
  </r>
  <r>
    <x v="3"/>
    <x v="1"/>
    <s v="Daily standup"/>
    <s v="Daily standup   "/>
    <d v="2025-12-19T00:00:00"/>
    <n v="0.25"/>
    <x v="4"/>
    <x v="1"/>
  </r>
  <r>
    <x v="1"/>
    <x v="1"/>
    <s v="Daily standup"/>
    <s v="Daily standup"/>
    <d v="2025-12-19T00:00:00"/>
    <n v="0.25"/>
    <x v="4"/>
    <x v="1"/>
  </r>
  <r>
    <x v="0"/>
    <x v="1"/>
    <s v="Daily standup"/>
    <s v="Daily standup"/>
    <d v="2025-12-19T00:00:00"/>
    <n v="0.25"/>
    <x v="4"/>
    <x v="1"/>
  </r>
  <r>
    <x v="2"/>
    <x v="1"/>
    <s v="Daily standup"/>
    <s v="Daily standup"/>
    <d v="2025-12-19T00:00:00"/>
    <n v="0.25"/>
    <x v="4"/>
    <x v="1"/>
  </r>
  <r>
    <x v="1"/>
    <x v="8"/>
    <m/>
    <s v="ziek"/>
    <d v="2025-12-19T00:00:00"/>
    <m/>
    <x v="4"/>
    <x v="6"/>
  </r>
  <r>
    <x v="3"/>
    <x v="5"/>
    <s v="Uitleg werking systeem"/>
    <s v="Uitleggen nieuwe gedeelte van mijn code"/>
    <d v="2025-12-19T00:00:00"/>
    <n v="0.25"/>
    <x v="4"/>
    <x v="3"/>
  </r>
  <r>
    <x v="3"/>
    <x v="1"/>
    <s v="Toevoegen taken aan user story"/>
    <s v="Toevoegen taken userstory"/>
    <d v="2025-12-19T00:00:00"/>
    <n v="0.5"/>
    <x v="4"/>
    <x v="0"/>
  </r>
  <r>
    <x v="3"/>
    <x v="4"/>
    <s v="Uitvoeren geautomatiseerde test"/>
    <s v="Geautomatiseerde test uitvoeren"/>
    <d v="2025-12-19T00:00:00"/>
    <n v="0.1"/>
    <x v="4"/>
    <x v="2"/>
  </r>
  <r>
    <x v="3"/>
    <x v="1"/>
    <s v="Reviewen werk"/>
    <s v="Reviewen werk en aanpassen"/>
    <d v="2025-12-19T00:00:00"/>
    <n v="1"/>
    <x v="4"/>
    <x v="2"/>
  </r>
  <r>
    <x v="2"/>
    <x v="0"/>
    <s v="Organiseren requirements"/>
    <s v="TO aangepast om .txt file opslag te omvatten"/>
    <d v="2025-12-19T00:00:00"/>
    <n v="1"/>
    <x v="4"/>
    <x v="1"/>
  </r>
  <r>
    <x v="2"/>
    <x v="1"/>
    <s v="Daily standup"/>
    <s v="Daily standup"/>
    <d v="2025-12-19T00:00:00"/>
    <n v="0.5"/>
    <x v="4"/>
    <x v="1"/>
  </r>
  <r>
    <x v="3"/>
    <x v="0"/>
    <s v="Vaststellen sprintdoel"/>
    <s v="Project Document aanmaken"/>
    <d v="2025-12-19T00:00:00"/>
    <n v="0.75"/>
    <x v="4"/>
    <x v="0"/>
  </r>
  <r>
    <x v="3"/>
    <x v="4"/>
    <s v="Uitvoeren handmatige test"/>
    <s v="Uitvoeren na merge"/>
    <d v="2025-12-19T00:00:00"/>
    <n v="0.2"/>
    <x v="4"/>
    <x v="2"/>
  </r>
  <r>
    <x v="3"/>
    <x v="4"/>
    <s v="Evalueren testresultaat"/>
    <s v="Resultaten invoeren in rapportage"/>
    <d v="2025-12-19T00:00:00"/>
    <n v="0.5"/>
    <x v="4"/>
    <x v="4"/>
  </r>
  <r>
    <x v="2"/>
    <x v="5"/>
    <s v="Spoor fouten op"/>
    <s v="Gehele project gechecked op engelse tekst ipv nederlandse tekst, gehele eigen code reviewed"/>
    <d v="2025-12-19T00:00:00"/>
    <n v="3"/>
    <x v="4"/>
    <x v="2"/>
  </r>
  <r>
    <x v="2"/>
    <x v="4"/>
    <s v="Uitvoeren handmatige test"/>
    <s v="Meerdere tests uitgevoerd"/>
    <d v="2025-12-19T00:00:00"/>
    <n v="0.5"/>
    <x v="4"/>
    <x v="2"/>
  </r>
  <r>
    <x v="2"/>
    <x v="5"/>
    <s v="Spoor fouten op"/>
    <s v="Fout gespot in oefenpagina"/>
    <d v="2025-12-19T00:00:00"/>
    <n v="1"/>
    <x v="4"/>
    <x v="2"/>
  </r>
  <r>
    <x v="2"/>
    <x v="5"/>
    <s v="Voer oplossing door"/>
    <s v="Fout gefixed ivm moeilijkheidsselectie"/>
    <d v="2025-12-19T00:00:00"/>
    <n v="0.5"/>
    <x v="4"/>
    <x v="2"/>
  </r>
  <r>
    <x v="2"/>
    <x v="5"/>
    <s v="Voer oplossing door"/>
    <s v="Fout gefixed ivm kleurenblindmodus"/>
    <d v="2025-12-19T00:00:00"/>
    <n v="0.5"/>
    <x v="4"/>
    <x v="2"/>
  </r>
  <r>
    <x v="2"/>
    <x v="1"/>
    <s v="Werk presenteren"/>
    <s v="Video van applicatie gemaakt"/>
    <d v="2025-12-19T00:00:00"/>
    <n v="0.75"/>
    <x v="4"/>
    <x v="4"/>
  </r>
  <r>
    <x v="0"/>
    <x v="2"/>
    <s v="Inlevering klaarmaken"/>
    <s v="Opstellen van Sprint 3 inlevering"/>
    <d v="2025-12-19T00:00:00"/>
    <n v="2"/>
    <x v="4"/>
    <x v="1"/>
  </r>
  <r>
    <x v="2"/>
    <x v="2"/>
    <s v="Inlevering klaarmaken"/>
    <s v="Opstellen van Sprint 3 inlevering"/>
    <d v="2025-12-19T00:00:00"/>
    <n v="2"/>
    <x v="4"/>
    <x v="1"/>
  </r>
  <r>
    <x v="1"/>
    <x v="2"/>
    <s v="Inlevering klaarmaken"/>
    <s v="Opstellen van Sprint 3 inlevering"/>
    <d v="2025-12-19T00:00:00"/>
    <n v="2"/>
    <x v="4"/>
    <x v="1"/>
  </r>
  <r>
    <x v="2"/>
    <x v="2"/>
    <s v="Testen in pipeline"/>
    <s v="Laatste test voor het mergen van develop naar main"/>
    <d v="2025-12-19T00:00:00"/>
    <n v="0.5"/>
    <x v="4"/>
    <x v="1"/>
  </r>
  <r>
    <x v="2"/>
    <x v="2"/>
    <s v="Maken feature branch"/>
    <s v="hotfix kleurenblindmodus aangemaakt"/>
    <d v="2025-12-19T00:00:00"/>
    <n v="0.1"/>
    <x v="4"/>
    <x v="2"/>
  </r>
  <r>
    <x v="2"/>
    <x v="2"/>
    <s v="Maken feature branch"/>
    <s v="hotfix moeilijkheids selectie aangemaakt"/>
    <d v="2025-12-19T00:00:00"/>
    <n v="0.1"/>
    <x v="4"/>
    <x v="2"/>
  </r>
  <r>
    <x v="2"/>
    <x v="0"/>
    <s v="Detecteren mogelijke gebreken in requirements"/>
    <s v="Kijken of .txt file al in requirements stond indien nodig toevoegen"/>
    <d v="2025-12-19T00:00:00"/>
    <n v="0.75"/>
    <x v="4"/>
    <x v="0"/>
  </r>
  <r>
    <x v="2"/>
    <x v="0"/>
    <s v="Vastleggen requirements"/>
    <s v=".txt file aan technisch ontwerp toegevoegd"/>
    <d v="2025-12-19T00:00:00"/>
    <n v="0.5"/>
    <x v="4"/>
    <x v="0"/>
  </r>
  <r>
    <x v="2"/>
    <x v="1"/>
    <s v="Opstellen productbacklog"/>
    <s v="User stories opzetten uc3/4"/>
    <d v="2025-12-18T00:00:00"/>
    <n v="1"/>
    <x v="4"/>
    <x v="0"/>
  </r>
  <r>
    <x v="2"/>
    <x v="4"/>
    <s v="Evalueren testresultaat"/>
    <s v="Laatste test bevindingen doorgevoerd naar testdocument"/>
    <d v="2025-12-19T00:00:00"/>
    <n v="0.5"/>
    <x v="4"/>
    <x v="4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  <r>
    <x v="5"/>
    <x v="8"/>
    <m/>
    <m/>
    <m/>
    <m/>
    <x v="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6B07E-B47B-4B1F-9AE3-B36A9383C1B4}" name="PivotTable3" cacheId="46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am en Sprint">
  <location ref="E3:F99" firstHeaderRow="1" firstDataRow="1" firstDataCol="1"/>
  <pivotFields count="8">
    <pivotField axis="axisRow" showAll="0">
      <items count="14">
        <item h="1" m="1" x="7"/>
        <item h="1" m="1" x="9"/>
        <item h="1" m="1" x="8"/>
        <item h="1" x="5"/>
        <item h="1" m="1" x="11"/>
        <item h="1" m="1" x="12"/>
        <item h="1" m="1" x="10"/>
        <item x="0"/>
        <item x="1"/>
        <item x="2"/>
        <item x="3"/>
        <item x="4"/>
        <item h="1" m="1" x="6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3">
        <item m="1" x="6"/>
        <item m="1" x="7"/>
        <item m="1" x="8"/>
        <item m="1" x="9"/>
        <item m="1" x="10"/>
        <item m="1" x="11"/>
        <item x="5"/>
        <item x="0"/>
        <item x="1"/>
        <item x="2"/>
        <item sd="0" x="3"/>
        <item x="4"/>
        <item t="default"/>
      </items>
    </pivotField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3">
    <field x="0"/>
    <field x="6"/>
    <field x="7"/>
  </rowFields>
  <rowItems count="96">
    <i>
      <x v="7"/>
    </i>
    <i r="1">
      <x v="7"/>
    </i>
    <i r="2">
      <x v="1"/>
    </i>
    <i r="2">
      <x v="2"/>
    </i>
    <i r="2">
      <x v="3"/>
    </i>
    <i r="2">
      <x v="4"/>
    </i>
    <i r="2">
      <x v="5"/>
    </i>
    <i r="1">
      <x v="8"/>
    </i>
    <i r="2">
      <x v="1"/>
    </i>
    <i r="2">
      <x v="2"/>
    </i>
    <i r="2">
      <x v="3"/>
    </i>
    <i r="2">
      <x v="4"/>
    </i>
    <i r="2">
      <x v="5"/>
    </i>
    <i r="1">
      <x v="9"/>
    </i>
    <i r="2">
      <x v="1"/>
    </i>
    <i r="2">
      <x v="2"/>
    </i>
    <i r="2">
      <x v="3"/>
    </i>
    <i r="2">
      <x v="4"/>
    </i>
    <i r="2">
      <x v="5"/>
    </i>
    <i r="1">
      <x v="11"/>
    </i>
    <i r="2">
      <x v="1"/>
    </i>
    <i r="2">
      <x v="2"/>
    </i>
    <i r="2">
      <x v="3"/>
    </i>
    <i r="2">
      <x v="4"/>
    </i>
    <i r="2">
      <x v="5"/>
    </i>
    <i>
      <x v="8"/>
    </i>
    <i r="1">
      <x v="7"/>
    </i>
    <i r="2">
      <x v="1"/>
    </i>
    <i r="2">
      <x v="2"/>
    </i>
    <i r="2">
      <x v="3"/>
    </i>
    <i r="2">
      <x v="4"/>
    </i>
    <i r="2">
      <x v="5"/>
    </i>
    <i r="1">
      <x v="8"/>
    </i>
    <i r="2">
      <x v="1"/>
    </i>
    <i r="2">
      <x v="2"/>
    </i>
    <i r="2">
      <x v="3"/>
    </i>
    <i r="2">
      <x v="4"/>
    </i>
    <i r="2">
      <x v="5"/>
    </i>
    <i r="1">
      <x v="9"/>
    </i>
    <i r="2">
      <x v="1"/>
    </i>
    <i r="2">
      <x v="2"/>
    </i>
    <i r="2">
      <x v="3"/>
    </i>
    <i r="2">
      <x v="4"/>
    </i>
    <i r="2">
      <x v="5"/>
    </i>
    <i r="1">
      <x v="11"/>
    </i>
    <i r="2">
      <x/>
    </i>
    <i r="2">
      <x v="1"/>
    </i>
    <i r="2">
      <x v="2"/>
    </i>
    <i r="2">
      <x v="3"/>
    </i>
    <i r="2">
      <x v="4"/>
    </i>
    <i r="2">
      <x v="5"/>
    </i>
    <i>
      <x v="9"/>
    </i>
    <i r="1">
      <x v="7"/>
    </i>
    <i r="2">
      <x v="2"/>
    </i>
    <i r="2">
      <x v="5"/>
    </i>
    <i r="1">
      <x v="8"/>
    </i>
    <i r="2">
      <x v="1"/>
    </i>
    <i r="2">
      <x v="2"/>
    </i>
    <i r="2">
      <x v="3"/>
    </i>
    <i r="2">
      <x v="4"/>
    </i>
    <i r="2">
      <x v="5"/>
    </i>
    <i r="1">
      <x v="9"/>
    </i>
    <i r="2">
      <x v="1"/>
    </i>
    <i r="2">
      <x v="2"/>
    </i>
    <i r="2">
      <x v="3"/>
    </i>
    <i r="2">
      <x v="5"/>
    </i>
    <i r="1">
      <x v="10"/>
    </i>
    <i r="1">
      <x v="11"/>
    </i>
    <i r="2">
      <x v="1"/>
    </i>
    <i r="2">
      <x v="2"/>
    </i>
    <i r="2">
      <x v="3"/>
    </i>
    <i r="2">
      <x v="5"/>
    </i>
    <i>
      <x v="10"/>
    </i>
    <i r="1">
      <x v="7"/>
    </i>
    <i r="2">
      <x v="1"/>
    </i>
    <i r="2">
      <x v="3"/>
    </i>
    <i r="2">
      <x v="5"/>
    </i>
    <i r="1">
      <x v="8"/>
    </i>
    <i r="2">
      <x v="1"/>
    </i>
    <i r="2">
      <x v="3"/>
    </i>
    <i r="2">
      <x v="5"/>
    </i>
    <i r="1">
      <x v="9"/>
    </i>
    <i r="2">
      <x v="1"/>
    </i>
    <i r="2">
      <x v="2"/>
    </i>
    <i r="2">
      <x v="3"/>
    </i>
    <i r="2">
      <x v="5"/>
    </i>
    <i r="1">
      <x v="11"/>
    </i>
    <i r="2">
      <x v="1"/>
    </i>
    <i r="2">
      <x v="2"/>
    </i>
    <i r="2">
      <x v="3"/>
    </i>
    <i r="2">
      <x v="4"/>
    </i>
    <i r="2">
      <x v="5"/>
    </i>
    <i>
      <x v="11"/>
    </i>
    <i r="1">
      <x v="9"/>
    </i>
    <i r="2">
      <x v="3"/>
    </i>
    <i t="grand">
      <x/>
    </i>
  </rowItems>
  <colItems count="1">
    <i/>
  </colItems>
  <dataFields count="1">
    <dataField name="Sum of Uren" fld="5" baseField="0" baseItem="0"/>
  </dataFields>
  <formats count="9"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5">
      <pivotArea dataOnly="0" labelOnly="1" grandRow="1" outline="0" fieldPosition="0"/>
    </format>
    <format dxfId="36">
      <pivotArea dataOnly="0" labelOnly="1" fieldPosition="0">
        <references count="2">
          <reference field="0" count="1" selected="0">
            <x v="0"/>
          </reference>
          <reference field="6" count="1">
            <x v="0"/>
          </reference>
        </references>
      </pivotArea>
    </format>
    <format dxfId="37">
      <pivotArea dataOnly="0" labelOnly="1" fieldPosition="0">
        <references count="2">
          <reference field="0" count="1" selected="0">
            <x v="1"/>
          </reference>
          <reference field="6" count="2">
            <x v="0"/>
            <x v="1"/>
          </reference>
        </references>
      </pivotArea>
    </format>
    <format dxfId="38">
      <pivotArea dataOnly="0" labelOnly="1" fieldPosition="0">
        <references count="2">
          <reference field="0" count="1" selected="0">
            <x v="2"/>
          </reference>
          <reference field="6" count="1">
            <x v="0"/>
          </reference>
        </references>
      </pivotArea>
    </format>
    <format dxfId="39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36164-73B9-42AE-B078-B07C1586FAE5}" name="PivotTable2" cacheId="46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am en Sprint">
  <location ref="B3:C99" firstHeaderRow="1" firstDataRow="1" firstDataCol="1"/>
  <pivotFields count="8">
    <pivotField axis="axisRow" showAll="0" sortType="ascending">
      <items count="14">
        <item x="0"/>
        <item h="1" m="1" x="6"/>
        <item h="1" m="1" x="11"/>
        <item h="1" m="1" x="7"/>
        <item x="2"/>
        <item h="1" m="1" x="9"/>
        <item h="1" m="1" x="8"/>
        <item x="3"/>
        <item x="4"/>
        <item h="1" m="1" x="12"/>
        <item x="1"/>
        <item h="1" m="1" x="10"/>
        <item h="1" x="5"/>
        <item t="default"/>
      </items>
    </pivotField>
    <pivotField axis="axisRow" showAll="0">
      <items count="13">
        <item x="2"/>
        <item x="5"/>
        <item x="3"/>
        <item x="0"/>
        <item x="8"/>
        <item x="4"/>
        <item m="1" x="11"/>
        <item m="1" x="10"/>
        <item x="1"/>
        <item x="6"/>
        <item m="1" x="9"/>
        <item x="7"/>
        <item t="default"/>
      </items>
    </pivotField>
    <pivotField showAll="0"/>
    <pivotField showAll="0"/>
    <pivotField showAll="0"/>
    <pivotField dataField="1" showAll="0"/>
    <pivotField axis="axisRow" showAll="0">
      <items count="13">
        <item m="1" x="6"/>
        <item m="1" x="8"/>
        <item m="1" x="9"/>
        <item m="1" x="10"/>
        <item m="1" x="11"/>
        <item x="5"/>
        <item m="1" x="7"/>
        <item x="0"/>
        <item x="1"/>
        <item x="2"/>
        <item x="3"/>
        <item x="4"/>
        <item t="default"/>
      </items>
    </pivotField>
    <pivotField showAll="0"/>
  </pivotFields>
  <rowFields count="3">
    <field x="0"/>
    <field x="6"/>
    <field x="1"/>
  </rowFields>
  <rowItems count="96">
    <i>
      <x/>
    </i>
    <i r="1">
      <x v="7"/>
    </i>
    <i r="2">
      <x v="2"/>
    </i>
    <i r="2">
      <x v="3"/>
    </i>
    <i r="2">
      <x v="5"/>
    </i>
    <i r="2">
      <x v="8"/>
    </i>
    <i r="1">
      <x v="8"/>
    </i>
    <i r="2">
      <x v="1"/>
    </i>
    <i r="2">
      <x v="2"/>
    </i>
    <i r="2">
      <x v="3"/>
    </i>
    <i r="2">
      <x v="8"/>
    </i>
    <i r="1">
      <x v="9"/>
    </i>
    <i r="2">
      <x v="1"/>
    </i>
    <i r="2">
      <x v="2"/>
    </i>
    <i r="2">
      <x v="3"/>
    </i>
    <i r="2">
      <x v="5"/>
    </i>
    <i r="2">
      <x v="8"/>
    </i>
    <i r="1">
      <x v="11"/>
    </i>
    <i r="2">
      <x/>
    </i>
    <i r="2">
      <x v="1"/>
    </i>
    <i r="2">
      <x v="2"/>
    </i>
    <i r="2">
      <x v="3"/>
    </i>
    <i r="2">
      <x v="5"/>
    </i>
    <i r="2">
      <x v="8"/>
    </i>
    <i>
      <x v="4"/>
    </i>
    <i r="1">
      <x v="7"/>
    </i>
    <i r="2">
      <x v="8"/>
    </i>
    <i r="1">
      <x v="8"/>
    </i>
    <i r="2">
      <x v="1"/>
    </i>
    <i r="2">
      <x v="2"/>
    </i>
    <i r="2">
      <x v="3"/>
    </i>
    <i r="2">
      <x v="8"/>
    </i>
    <i r="1">
      <x v="9"/>
    </i>
    <i r="2">
      <x v="1"/>
    </i>
    <i r="2">
      <x v="3"/>
    </i>
    <i r="2">
      <x v="5"/>
    </i>
    <i r="2">
      <x v="8"/>
    </i>
    <i r="1">
      <x v="10"/>
    </i>
    <i r="2">
      <x v="9"/>
    </i>
    <i r="1">
      <x v="11"/>
    </i>
    <i r="2">
      <x/>
    </i>
    <i r="2">
      <x v="1"/>
    </i>
    <i r="2">
      <x v="3"/>
    </i>
    <i r="2">
      <x v="5"/>
    </i>
    <i r="2">
      <x v="8"/>
    </i>
    <i>
      <x v="7"/>
    </i>
    <i r="1">
      <x v="7"/>
    </i>
    <i r="2">
      <x v="3"/>
    </i>
    <i r="2">
      <x v="8"/>
    </i>
    <i r="1">
      <x v="8"/>
    </i>
    <i r="2">
      <x v="1"/>
    </i>
    <i r="2">
      <x v="8"/>
    </i>
    <i r="2">
      <x v="11"/>
    </i>
    <i r="1">
      <x v="9"/>
    </i>
    <i r="2">
      <x v="1"/>
    </i>
    <i r="2">
      <x v="3"/>
    </i>
    <i r="2">
      <x v="8"/>
    </i>
    <i r="1">
      <x v="11"/>
    </i>
    <i r="2">
      <x/>
    </i>
    <i r="2">
      <x v="1"/>
    </i>
    <i r="2">
      <x v="2"/>
    </i>
    <i r="2">
      <x v="3"/>
    </i>
    <i r="2">
      <x v="5"/>
    </i>
    <i r="2">
      <x v="8"/>
    </i>
    <i r="2">
      <x v="11"/>
    </i>
    <i>
      <x v="8"/>
    </i>
    <i r="1">
      <x v="9"/>
    </i>
    <i r="2">
      <x v="1"/>
    </i>
    <i>
      <x v="10"/>
    </i>
    <i r="1">
      <x v="7"/>
    </i>
    <i r="2">
      <x/>
    </i>
    <i r="2">
      <x v="2"/>
    </i>
    <i r="2">
      <x v="3"/>
    </i>
    <i r="2">
      <x v="5"/>
    </i>
    <i r="2">
      <x v="8"/>
    </i>
    <i r="1">
      <x v="8"/>
    </i>
    <i r="2">
      <x/>
    </i>
    <i r="2">
      <x v="1"/>
    </i>
    <i r="2">
      <x v="2"/>
    </i>
    <i r="2">
      <x v="3"/>
    </i>
    <i r="2">
      <x v="5"/>
    </i>
    <i r="2">
      <x v="8"/>
    </i>
    <i r="1">
      <x v="9"/>
    </i>
    <i r="2">
      <x/>
    </i>
    <i r="2">
      <x v="1"/>
    </i>
    <i r="2">
      <x v="3"/>
    </i>
    <i r="2">
      <x v="5"/>
    </i>
    <i r="2">
      <x v="8"/>
    </i>
    <i r="1">
      <x v="11"/>
    </i>
    <i r="2">
      <x/>
    </i>
    <i r="2">
      <x v="1"/>
    </i>
    <i r="2">
      <x v="2"/>
    </i>
    <i r="2">
      <x v="4"/>
    </i>
    <i r="2">
      <x v="5"/>
    </i>
    <i r="2">
      <x v="8"/>
    </i>
    <i t="grand">
      <x/>
    </i>
  </rowItems>
  <colItems count="1">
    <i/>
  </colItems>
  <dataFields count="1">
    <dataField name="Sum of Uren" fld="5" baseField="0" baseItem="0"/>
  </dataFields>
  <formats count="13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3">
      <pivotArea dataOnly="0" labelOnly="1" fieldPosition="0">
        <references count="2">
          <reference field="0" count="1" selected="0">
            <x v="3"/>
          </reference>
          <reference field="6" count="1">
            <x v="0"/>
          </reference>
        </references>
      </pivotArea>
    </format>
    <format dxfId="24">
      <pivotArea dataOnly="0" labelOnly="1" fieldPosition="0">
        <references count="2">
          <reference field="0" count="1" selected="0">
            <x v="5"/>
          </reference>
          <reference field="6" count="2">
            <x v="0"/>
            <x v="6"/>
          </reference>
        </references>
      </pivotArea>
    </format>
    <format dxfId="25">
      <pivotArea dataOnly="0" labelOnly="1" fieldPosition="0">
        <references count="2">
          <reference field="0" count="1" selected="0">
            <x v="6"/>
          </reference>
          <reference field="6" count="1">
            <x v="0"/>
          </reference>
        </references>
      </pivotArea>
    </format>
    <format dxfId="26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6" count="1" selected="0">
            <x v="0"/>
          </reference>
        </references>
      </pivotArea>
    </format>
    <format dxfId="27">
      <pivotArea dataOnly="0" labelOnly="1" fieldPosition="0">
        <references count="3">
          <reference field="0" count="1" selected="0">
            <x v="5"/>
          </reference>
          <reference field="1" count="2">
            <x v="2"/>
            <x v="8"/>
          </reference>
          <reference field="6" count="1" selected="0">
            <x v="0"/>
          </reference>
        </references>
      </pivotArea>
    </format>
    <format dxfId="28">
      <pivotArea dataOnly="0" labelOnly="1" fieldPosition="0">
        <references count="3">
          <reference field="0" count="1" selected="0">
            <x v="5"/>
          </reference>
          <reference field="1" count="1">
            <x v="3"/>
          </reference>
          <reference field="6" count="1" selected="0">
            <x v="6"/>
          </reference>
        </references>
      </pivotArea>
    </format>
    <format dxfId="29">
      <pivotArea dataOnly="0" labelOnly="1" fieldPosition="0">
        <references count="3">
          <reference field="0" count="1" selected="0">
            <x v="6"/>
          </reference>
          <reference field="1" count="2">
            <x v="1"/>
            <x v="3"/>
          </reference>
          <reference field="6" count="1" selected="0">
            <x v="0"/>
          </reference>
        </references>
      </pivotArea>
    </format>
    <format dxfId="3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AAA221-70D5-432F-95A4-0A8FEE9B4953}" name="Timeform" displayName="Timeform" ref="B3:I864" totalsRowShown="0" headerRowDxfId="17" dataDxfId="16">
  <autoFilter ref="B3:I864" xr:uid="{79AAA221-70D5-432F-95A4-0A8FEE9B4953}"/>
  <sortState xmlns:xlrd2="http://schemas.microsoft.com/office/spreadsheetml/2017/richdata2" ref="B4:I864">
    <sortCondition ref="F3:F864"/>
  </sortState>
  <tableColumns count="8">
    <tableColumn id="1" xr3:uid="{CDB853C4-8B99-45B3-AB11-6A49753D7D4D}" name="Naam" dataDxfId="15"/>
    <tableColumn id="2" xr3:uid="{EF52A3E8-5142-4BF3-82D6-0C49558CFCD4}" name="Proces" dataDxfId="14"/>
    <tableColumn id="3" xr3:uid="{63D7F1F9-49FD-43EF-94F6-834B0CD90DBB}" name="Vaardigheid" dataDxfId="13"/>
    <tableColumn id="5" xr3:uid="{3BA8D563-80A8-4EB1-BA4E-66A3757E6E85}" name="Omschrijving werkzaamheden" dataDxfId="12"/>
    <tableColumn id="6" xr3:uid="{8FD0FAC1-D86A-4307-B9E6-23C37AA7A39B}" name="Datum" dataDxfId="11"/>
    <tableColumn id="7" xr3:uid="{FF9A6FE2-9D20-48DC-A9A7-6B57B166662A}" name="Uren" dataDxfId="10"/>
    <tableColumn id="8" xr3:uid="{92AE8BB0-5292-436F-83A4-3979F860B8D5}" name="Sprint nr" dataDxfId="9"/>
    <tableColumn id="9" xr3:uid="{CEB58FA4-C1C7-4A6E-B0F7-8175456DF6D5}" name="Activiteit" dataDxfId="8">
      <calculatedColumnFormula>_xlfn.XLOOKUP(Timeform[[#This Row],[Vaardigheid]],Lijsten!C:C,Lijsten!A:A)</calculatedColumnFormula>
    </tableColumn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F63294-7F50-4B98-AE1D-CA3FAE874F12}" name="Processen" displayName="Processen" ref="A15:C92" totalsRowShown="0" headerRowDxfId="7" dataDxfId="6">
  <autoFilter ref="A15:C92" xr:uid="{EEF63294-7F50-4B98-AE1D-CA3FAE874F12}"/>
  <sortState xmlns:xlrd2="http://schemas.microsoft.com/office/spreadsheetml/2017/richdata2" ref="A16:C92">
    <sortCondition ref="B15:B92"/>
  </sortState>
  <tableColumns count="3">
    <tableColumn id="1" xr3:uid="{683524EE-0252-4046-9AB1-180DCBA069F6}" name="Activiteit" dataDxfId="5"/>
    <tableColumn id="2" xr3:uid="{30B73AA4-5A3C-4879-8CD6-67F92E14BDBB}" name="Proces" dataDxfId="4"/>
    <tableColumn id="3" xr3:uid="{9BC1FBA8-C134-4F59-B9C1-59C10AFA5446}" name="Vaardigheid" dataDxfId="3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C210E0-338E-4322-B6CB-0AFD215867A7}" name="Namenlijst" displayName="Namenlijst" ref="A2:A8" totalsRowShown="0" headerRowDxfId="2" dataDxfId="1">
  <autoFilter ref="A2:A8" xr:uid="{C4C210E0-338E-4322-B6CB-0AFD215867A7}"/>
  <tableColumns count="1">
    <tableColumn id="1" xr3:uid="{2EC5413A-080D-42BE-89F8-EDBA37965822}" name="Namenlijst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E0D6-BAD0-4969-9429-41E01DBF32C3}">
  <dimension ref="B2:N29"/>
  <sheetViews>
    <sheetView workbookViewId="0">
      <selection activeCell="N7" sqref="N7"/>
    </sheetView>
  </sheetViews>
  <sheetFormatPr defaultColWidth="8.85546875" defaultRowHeight="14.45"/>
  <cols>
    <col min="1" max="13" width="8.85546875" style="2"/>
    <col min="14" max="14" width="19.5703125" style="2" customWidth="1"/>
    <col min="15" max="16384" width="8.85546875" style="2"/>
  </cols>
  <sheetData>
    <row r="2" spans="2:14">
      <c r="N2" s="29" t="s">
        <v>0</v>
      </c>
    </row>
    <row r="3" spans="2:14" ht="20.45" thickBot="1">
      <c r="B3" s="109" t="s">
        <v>1</v>
      </c>
      <c r="C3" s="109"/>
      <c r="D3" s="109"/>
      <c r="E3" s="109"/>
      <c r="F3" s="109"/>
      <c r="G3" s="109"/>
      <c r="H3" s="109"/>
      <c r="I3" s="109"/>
      <c r="J3" s="109"/>
      <c r="N3" s="30" t="s">
        <v>2</v>
      </c>
    </row>
    <row r="4" spans="2:14" ht="15" thickTop="1">
      <c r="N4" s="58" t="s">
        <v>3</v>
      </c>
    </row>
    <row r="5" spans="2:14" ht="18" thickBot="1">
      <c r="B5" s="1" t="s">
        <v>4</v>
      </c>
      <c r="C5" s="1"/>
      <c r="D5" s="1"/>
      <c r="E5" s="3"/>
      <c r="F5" s="3"/>
      <c r="G5" s="3"/>
      <c r="H5" s="3"/>
      <c r="I5" s="3"/>
      <c r="J5" s="3"/>
      <c r="N5" s="30" t="s">
        <v>5</v>
      </c>
    </row>
    <row r="6" spans="2:14" ht="15" thickTop="1">
      <c r="B6" s="2" t="s">
        <v>6</v>
      </c>
      <c r="N6" s="58" t="s">
        <v>7</v>
      </c>
    </row>
    <row r="7" spans="2:14">
      <c r="B7" s="2" t="s">
        <v>8</v>
      </c>
      <c r="N7" s="25" t="s">
        <v>9</v>
      </c>
    </row>
    <row r="8" spans="2:14">
      <c r="B8" s="4" t="s">
        <v>10</v>
      </c>
    </row>
    <row r="9" spans="2:14">
      <c r="B9" s="2" t="s">
        <v>11</v>
      </c>
    </row>
    <row r="11" spans="2:14">
      <c r="B11" s="2" t="s">
        <v>12</v>
      </c>
    </row>
    <row r="12" spans="2:14">
      <c r="B12" s="2" t="s">
        <v>13</v>
      </c>
    </row>
    <row r="13" spans="2:14">
      <c r="B13" s="2" t="s">
        <v>14</v>
      </c>
    </row>
    <row r="15" spans="2:14" ht="18" thickBot="1">
      <c r="B15" s="19" t="s">
        <v>15</v>
      </c>
      <c r="C15" s="18"/>
      <c r="D15" s="18"/>
      <c r="E15" s="18"/>
      <c r="F15" s="18"/>
      <c r="G15" s="18"/>
      <c r="H15" s="18"/>
      <c r="I15" s="18"/>
      <c r="J15" s="18"/>
    </row>
    <row r="16" spans="2:14" ht="15" thickTop="1">
      <c r="B16" s="2" t="s">
        <v>16</v>
      </c>
    </row>
    <row r="17" spans="2:2">
      <c r="B17" s="2" t="s">
        <v>17</v>
      </c>
    </row>
    <row r="18" spans="2:2">
      <c r="B18" s="2" t="s">
        <v>18</v>
      </c>
    </row>
    <row r="19" spans="2:2">
      <c r="B19" s="2" t="s">
        <v>19</v>
      </c>
    </row>
    <row r="20" spans="2:2">
      <c r="B20" s="2" t="s">
        <v>20</v>
      </c>
    </row>
    <row r="21" spans="2:2">
      <c r="B21" s="2" t="s">
        <v>21</v>
      </c>
    </row>
    <row r="22" spans="2:2">
      <c r="B22" s="2" t="s">
        <v>22</v>
      </c>
    </row>
    <row r="23" spans="2:2">
      <c r="B23" s="2" t="s">
        <v>23</v>
      </c>
    </row>
    <row r="25" spans="2:2">
      <c r="B25" s="20" t="s">
        <v>24</v>
      </c>
    </row>
    <row r="26" spans="2:2">
      <c r="B26" s="2" t="s">
        <v>25</v>
      </c>
    </row>
    <row r="27" spans="2:2">
      <c r="B27" s="2" t="s">
        <v>26</v>
      </c>
    </row>
    <row r="28" spans="2:2">
      <c r="B28" s="2" t="s">
        <v>27</v>
      </c>
    </row>
    <row r="29" spans="2:2">
      <c r="B29" s="2" t="s">
        <v>28</v>
      </c>
    </row>
  </sheetData>
  <mergeCells count="1">
    <mergeCell ref="B3:J3"/>
  </mergeCells>
  <hyperlinks>
    <hyperlink ref="B8" location="Lijsten!A2" display="Deze namenlijst vind je hier: " xr:uid="{5BDDD42D-7AA5-4E1B-813E-ED795D021B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040"/>
  <sheetViews>
    <sheetView topLeftCell="A414" zoomScale="88" workbookViewId="0">
      <selection activeCell="B419" sqref="B419"/>
    </sheetView>
  </sheetViews>
  <sheetFormatPr defaultColWidth="8.85546875" defaultRowHeight="14.45"/>
  <cols>
    <col min="1" max="1" width="8.85546875" style="2"/>
    <col min="2" max="2" width="12" style="2" customWidth="1"/>
    <col min="3" max="3" width="29.140625" style="2" customWidth="1"/>
    <col min="4" max="4" width="52.140625" style="2" customWidth="1"/>
    <col min="5" max="5" width="42.85546875" style="2" customWidth="1"/>
    <col min="6" max="6" width="12.42578125" style="2" customWidth="1"/>
    <col min="7" max="7" width="8.85546875" style="2"/>
    <col min="8" max="8" width="10.5703125" style="2" customWidth="1"/>
    <col min="9" max="9" width="16.5703125" style="2" bestFit="1" customWidth="1"/>
    <col min="10" max="16384" width="8.85546875" style="2"/>
  </cols>
  <sheetData>
    <row r="3" spans="2:9"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5" t="s">
        <v>36</v>
      </c>
    </row>
    <row r="4" spans="2:9" ht="29.25">
      <c r="B4" s="31" t="s">
        <v>3</v>
      </c>
      <c r="C4" s="32" t="s">
        <v>37</v>
      </c>
      <c r="D4" s="33" t="s">
        <v>38</v>
      </c>
      <c r="E4" s="33" t="s">
        <v>39</v>
      </c>
      <c r="F4" s="34">
        <v>45971</v>
      </c>
      <c r="G4" s="32">
        <v>0.5</v>
      </c>
      <c r="H4" s="32" t="s">
        <v>40</v>
      </c>
      <c r="I4" s="88" t="str">
        <f>_xlfn.XLOOKUP(Timeform[[#This Row],[Vaardigheid]],Lijsten!C:C,Lijsten!A:A)</f>
        <v>Analyseren</v>
      </c>
    </row>
    <row r="5" spans="2:9" ht="29.25">
      <c r="B5" s="35" t="s">
        <v>3</v>
      </c>
      <c r="C5" s="36" t="s">
        <v>37</v>
      </c>
      <c r="D5" s="37" t="s">
        <v>41</v>
      </c>
      <c r="E5" s="37" t="s">
        <v>42</v>
      </c>
      <c r="F5" s="34">
        <v>45971</v>
      </c>
      <c r="G5" s="36">
        <v>1</v>
      </c>
      <c r="H5" s="36" t="s">
        <v>40</v>
      </c>
      <c r="I5" s="88" t="str">
        <f>_xlfn.XLOOKUP(Timeform[[#This Row],[Vaardigheid]],Lijsten!C:C,Lijsten!A:A)</f>
        <v>Analyseren</v>
      </c>
    </row>
    <row r="6" spans="2:9" ht="15">
      <c r="B6" s="31" t="s">
        <v>3</v>
      </c>
      <c r="C6" s="32" t="s">
        <v>37</v>
      </c>
      <c r="D6" s="33" t="s">
        <v>43</v>
      </c>
      <c r="E6" s="33" t="s">
        <v>44</v>
      </c>
      <c r="F6" s="34">
        <v>45971</v>
      </c>
      <c r="G6" s="32">
        <v>0.5</v>
      </c>
      <c r="H6" s="32" t="s">
        <v>40</v>
      </c>
      <c r="I6" s="88" t="str">
        <f>_xlfn.XLOOKUP(Timeform[[#This Row],[Vaardigheid]],Lijsten!C:C,Lijsten!A:A)</f>
        <v>Analyseren</v>
      </c>
    </row>
    <row r="7" spans="2:9" ht="15">
      <c r="B7" s="35" t="s">
        <v>3</v>
      </c>
      <c r="C7" s="36" t="s">
        <v>37</v>
      </c>
      <c r="D7" s="37" t="s">
        <v>45</v>
      </c>
      <c r="E7" s="37" t="s">
        <v>44</v>
      </c>
      <c r="F7" s="34">
        <v>45971</v>
      </c>
      <c r="G7" s="36">
        <v>0.5</v>
      </c>
      <c r="H7" s="36" t="s">
        <v>40</v>
      </c>
      <c r="I7" s="88" t="str">
        <f>_xlfn.XLOOKUP(Timeform[[#This Row],[Vaardigheid]],Lijsten!C:C,Lijsten!A:A)</f>
        <v>Analyseren</v>
      </c>
    </row>
    <row r="8" spans="2:9" ht="15">
      <c r="B8" s="31" t="s">
        <v>3</v>
      </c>
      <c r="C8" s="32" t="s">
        <v>37</v>
      </c>
      <c r="D8" s="33" t="s">
        <v>46</v>
      </c>
      <c r="E8" s="33" t="s">
        <v>44</v>
      </c>
      <c r="F8" s="34">
        <v>45971</v>
      </c>
      <c r="G8" s="32">
        <v>1</v>
      </c>
      <c r="H8" s="32" t="s">
        <v>40</v>
      </c>
      <c r="I8" s="88" t="str">
        <f>_xlfn.XLOOKUP(Timeform[[#This Row],[Vaardigheid]],Lijsten!C:C,Lijsten!A:A)</f>
        <v>Analyseren</v>
      </c>
    </row>
    <row r="9" spans="2:9" ht="29.25">
      <c r="B9" s="35" t="s">
        <v>3</v>
      </c>
      <c r="C9" s="36" t="s">
        <v>37</v>
      </c>
      <c r="D9" s="37" t="s">
        <v>47</v>
      </c>
      <c r="E9" s="37" t="s">
        <v>44</v>
      </c>
      <c r="F9" s="34">
        <v>45971</v>
      </c>
      <c r="G9" s="36">
        <v>0.5</v>
      </c>
      <c r="H9" s="36" t="s">
        <v>40</v>
      </c>
      <c r="I9" s="88" t="str">
        <f>_xlfn.XLOOKUP(Timeform[[#This Row],[Vaardigheid]],Lijsten!C:C,Lijsten!A:A)</f>
        <v>Analyseren</v>
      </c>
    </row>
    <row r="10" spans="2:9" ht="15">
      <c r="B10" s="31" t="s">
        <v>3</v>
      </c>
      <c r="C10" s="32" t="s">
        <v>37</v>
      </c>
      <c r="D10" s="33" t="s">
        <v>48</v>
      </c>
      <c r="E10" s="33" t="s">
        <v>49</v>
      </c>
      <c r="F10" s="34">
        <v>45971</v>
      </c>
      <c r="G10" s="32">
        <v>1.5</v>
      </c>
      <c r="H10" s="32" t="s">
        <v>40</v>
      </c>
      <c r="I10" s="88" t="str">
        <f>_xlfn.XLOOKUP(Timeform[[#This Row],[Vaardigheid]],Lijsten!C:C,Lijsten!A:A)</f>
        <v>Analyseren</v>
      </c>
    </row>
    <row r="11" spans="2:9" ht="29.25">
      <c r="B11" s="59" t="s">
        <v>2</v>
      </c>
      <c r="C11" s="40" t="s">
        <v>50</v>
      </c>
      <c r="D11" s="44" t="s">
        <v>51</v>
      </c>
      <c r="E11" s="44" t="s">
        <v>52</v>
      </c>
      <c r="F11" s="41">
        <v>45971</v>
      </c>
      <c r="G11" s="63">
        <v>0.5</v>
      </c>
      <c r="H11" s="40" t="s">
        <v>40</v>
      </c>
      <c r="I11" s="87" t="str">
        <f>_xlfn.XLOOKUP(Timeform[[#This Row],[Vaardigheid]],Lijsten!C:C,Lijsten!A:A)</f>
        <v>Manage &amp; Control</v>
      </c>
    </row>
    <row r="12" spans="2:9" ht="15">
      <c r="B12" s="35" t="s">
        <v>2</v>
      </c>
      <c r="C12" s="36" t="s">
        <v>50</v>
      </c>
      <c r="D12" s="37" t="s">
        <v>53</v>
      </c>
      <c r="E12" s="37" t="s">
        <v>54</v>
      </c>
      <c r="F12" s="38">
        <v>45972</v>
      </c>
      <c r="G12" s="36">
        <v>3</v>
      </c>
      <c r="H12" s="36" t="s">
        <v>40</v>
      </c>
      <c r="I12" s="89" t="str">
        <f>_xlfn.XLOOKUP(Timeform[[#This Row],[Vaardigheid]],Lijsten!C:C,Lijsten!A:A)</f>
        <v>Manage &amp; Control</v>
      </c>
    </row>
    <row r="13" spans="2:9" ht="15">
      <c r="B13" s="31" t="s">
        <v>3</v>
      </c>
      <c r="C13" s="32" t="s">
        <v>50</v>
      </c>
      <c r="D13" s="33" t="s">
        <v>53</v>
      </c>
      <c r="E13" s="33" t="s">
        <v>54</v>
      </c>
      <c r="F13" s="34">
        <v>45972</v>
      </c>
      <c r="G13" s="32">
        <v>3</v>
      </c>
      <c r="H13" s="32" t="s">
        <v>40</v>
      </c>
      <c r="I13" s="89" t="str">
        <f>_xlfn.XLOOKUP(Timeform[[#This Row],[Vaardigheid]],Lijsten!C:C,Lijsten!A:A)</f>
        <v>Manage &amp; Control</v>
      </c>
    </row>
    <row r="14" spans="2:9" ht="15">
      <c r="B14" s="35" t="s">
        <v>5</v>
      </c>
      <c r="C14" s="36" t="s">
        <v>50</v>
      </c>
      <c r="D14" s="37" t="s">
        <v>53</v>
      </c>
      <c r="E14" s="37" t="s">
        <v>54</v>
      </c>
      <c r="F14" s="38">
        <v>45972</v>
      </c>
      <c r="G14" s="36">
        <v>3</v>
      </c>
      <c r="H14" s="36" t="s">
        <v>40</v>
      </c>
      <c r="I14" s="89" t="str">
        <f>_xlfn.XLOOKUP(Timeform[[#This Row],[Vaardigheid]],Lijsten!C:C,Lijsten!A:A)</f>
        <v>Manage &amp; Control</v>
      </c>
    </row>
    <row r="15" spans="2:9" ht="15">
      <c r="B15" s="31" t="s">
        <v>2</v>
      </c>
      <c r="C15" s="32" t="s">
        <v>55</v>
      </c>
      <c r="D15" s="33" t="s">
        <v>56</v>
      </c>
      <c r="E15" s="33" t="s">
        <v>57</v>
      </c>
      <c r="F15" s="34">
        <v>45972</v>
      </c>
      <c r="G15" s="32">
        <v>1</v>
      </c>
      <c r="H15" s="32" t="s">
        <v>40</v>
      </c>
      <c r="I15" s="89" t="str">
        <f>_xlfn.XLOOKUP(Timeform[[#This Row],[Vaardigheid]],Lijsten!C:C,Lijsten!A:A)</f>
        <v>Manage &amp; Control</v>
      </c>
    </row>
    <row r="16" spans="2:9" ht="29.25">
      <c r="B16" s="35" t="s">
        <v>2</v>
      </c>
      <c r="C16" s="36" t="s">
        <v>50</v>
      </c>
      <c r="D16" s="37" t="s">
        <v>58</v>
      </c>
      <c r="E16" s="37" t="s">
        <v>59</v>
      </c>
      <c r="F16" s="38">
        <v>45972</v>
      </c>
      <c r="G16" s="36">
        <v>2</v>
      </c>
      <c r="H16" s="36" t="s">
        <v>40</v>
      </c>
      <c r="I16" s="88" t="str">
        <f>_xlfn.XLOOKUP(Timeform[[#This Row],[Vaardigheid]],Lijsten!C:C,Lijsten!A:A)</f>
        <v>Analyseren</v>
      </c>
    </row>
    <row r="17" spans="2:9" ht="43.5">
      <c r="B17" s="39" t="s">
        <v>2</v>
      </c>
      <c r="C17" s="39" t="s">
        <v>50</v>
      </c>
      <c r="D17" s="43" t="s">
        <v>60</v>
      </c>
      <c r="E17" s="43" t="s">
        <v>61</v>
      </c>
      <c r="F17" s="62">
        <v>45972</v>
      </c>
      <c r="G17" s="39">
        <v>0.75</v>
      </c>
      <c r="H17" s="39" t="s">
        <v>40</v>
      </c>
      <c r="I17" s="88" t="str">
        <f>_xlfn.XLOOKUP(Timeform[[#This Row],[Vaardigheid]],Lijsten!C:C,Lijsten!A:A)</f>
        <v>Realiseren</v>
      </c>
    </row>
    <row r="18" spans="2:9" ht="15">
      <c r="B18" s="2" t="s">
        <v>3</v>
      </c>
      <c r="C18" s="2" t="s">
        <v>37</v>
      </c>
      <c r="D18" s="6" t="s">
        <v>62</v>
      </c>
      <c r="E18" s="6" t="s">
        <v>63</v>
      </c>
      <c r="F18" s="7">
        <v>45972</v>
      </c>
      <c r="G18" s="48">
        <v>2</v>
      </c>
      <c r="H18" s="2" t="s">
        <v>40</v>
      </c>
      <c r="I18" s="9" t="str">
        <f>_xlfn.XLOOKUP(Timeform[[#This Row],[Vaardigheid]],Lijsten!C:C,Lijsten!A:A)</f>
        <v>Manage &amp; Control</v>
      </c>
    </row>
    <row r="19" spans="2:9" ht="29.25">
      <c r="B19" s="2" t="s">
        <v>3</v>
      </c>
      <c r="C19" s="2" t="s">
        <v>64</v>
      </c>
      <c r="D19" s="6" t="s">
        <v>65</v>
      </c>
      <c r="E19" s="6" t="s">
        <v>66</v>
      </c>
      <c r="F19" s="7">
        <v>45972</v>
      </c>
      <c r="G19" s="8">
        <v>2</v>
      </c>
      <c r="H19" s="2" t="s">
        <v>40</v>
      </c>
      <c r="I19" s="9" t="str">
        <f>_xlfn.XLOOKUP(Timeform[[#This Row],[Vaardigheid]],Lijsten!C:C,Lijsten!A:A)</f>
        <v>Ontwerpen</v>
      </c>
    </row>
    <row r="20" spans="2:9" ht="15">
      <c r="B20" s="2" t="s">
        <v>2</v>
      </c>
      <c r="C20" s="2" t="s">
        <v>55</v>
      </c>
      <c r="D20" s="6" t="s">
        <v>67</v>
      </c>
      <c r="E20" s="6" t="s">
        <v>68</v>
      </c>
      <c r="F20" s="42">
        <v>45972</v>
      </c>
      <c r="G20" s="8">
        <v>0.5</v>
      </c>
      <c r="H20" s="2" t="s">
        <v>40</v>
      </c>
      <c r="I20" s="9" t="str">
        <f>_xlfn.XLOOKUP(Timeform[[#This Row],[Vaardigheid]],Lijsten!C:C,Lijsten!A:A)</f>
        <v>Manage &amp; Control</v>
      </c>
    </row>
    <row r="21" spans="2:9" ht="15">
      <c r="B21" s="2" t="s">
        <v>2</v>
      </c>
      <c r="C21" s="2" t="s">
        <v>55</v>
      </c>
      <c r="D21" s="6" t="s">
        <v>69</v>
      </c>
      <c r="E21" s="6" t="s">
        <v>70</v>
      </c>
      <c r="F21" s="42">
        <v>45972</v>
      </c>
      <c r="G21" s="8">
        <v>0.25</v>
      </c>
      <c r="H21" s="2" t="s">
        <v>40</v>
      </c>
      <c r="I21" s="9" t="str">
        <f>_xlfn.XLOOKUP(Timeform[[#This Row],[Vaardigheid]],Lijsten!C:C,Lijsten!A:A)</f>
        <v>Realiseren</v>
      </c>
    </row>
    <row r="22" spans="2:9" ht="15">
      <c r="B22" s="2" t="s">
        <v>7</v>
      </c>
      <c r="C22" s="2" t="s">
        <v>50</v>
      </c>
      <c r="D22" s="6" t="s">
        <v>71</v>
      </c>
      <c r="E22" s="6" t="s">
        <v>71</v>
      </c>
      <c r="F22" s="97">
        <v>45972</v>
      </c>
      <c r="G22" s="8">
        <v>0.5</v>
      </c>
      <c r="H22" s="2" t="s">
        <v>40</v>
      </c>
      <c r="I22" s="9" t="str">
        <f>_xlfn.XLOOKUP(Timeform[[#This Row],[Vaardigheid]],Lijsten!C:C,Lijsten!A:A)</f>
        <v>Analyseren</v>
      </c>
    </row>
    <row r="23" spans="2:9" ht="15">
      <c r="B23" s="2" t="s">
        <v>7</v>
      </c>
      <c r="C23" s="2" t="s">
        <v>50</v>
      </c>
      <c r="D23" s="6" t="s">
        <v>60</v>
      </c>
      <c r="E23" s="6" t="s">
        <v>72</v>
      </c>
      <c r="F23" s="7">
        <v>45972</v>
      </c>
      <c r="G23" s="8">
        <v>0.5</v>
      </c>
      <c r="H23" s="2" t="s">
        <v>40</v>
      </c>
      <c r="I23" s="9" t="str">
        <f>_xlfn.XLOOKUP(Timeform[[#This Row],[Vaardigheid]],Lijsten!C:C,Lijsten!A:A)</f>
        <v>Realiseren</v>
      </c>
    </row>
    <row r="24" spans="2:9" ht="15">
      <c r="B24" s="2" t="s">
        <v>7</v>
      </c>
      <c r="C24" s="40" t="s">
        <v>37</v>
      </c>
      <c r="D24" s="6" t="s">
        <v>38</v>
      </c>
      <c r="E24" s="6" t="s">
        <v>73</v>
      </c>
      <c r="F24" s="7">
        <v>45972</v>
      </c>
      <c r="G24" s="8">
        <v>1</v>
      </c>
      <c r="H24" s="2" t="s">
        <v>40</v>
      </c>
      <c r="I24" s="9" t="str">
        <f>_xlfn.XLOOKUP(Timeform[[#This Row],[Vaardigheid]],Lijsten!C:C,Lijsten!A:A)</f>
        <v>Analyseren</v>
      </c>
    </row>
    <row r="25" spans="2:9" ht="15">
      <c r="B25" s="2" t="s">
        <v>2</v>
      </c>
      <c r="C25" s="40" t="s">
        <v>55</v>
      </c>
      <c r="D25" s="6" t="s">
        <v>74</v>
      </c>
      <c r="E25" s="6" t="s">
        <v>75</v>
      </c>
      <c r="F25" s="7">
        <v>45972</v>
      </c>
      <c r="G25" s="8">
        <v>0.3</v>
      </c>
      <c r="H25" s="2" t="s">
        <v>40</v>
      </c>
      <c r="I25" s="9" t="str">
        <f>_xlfn.XLOOKUP(Timeform[[#This Row],[Vaardigheid]],Lijsten!C:C,Lijsten!A:A)</f>
        <v>Realiseren</v>
      </c>
    </row>
    <row r="26" spans="2:9" ht="15">
      <c r="B26" s="2" t="s">
        <v>2</v>
      </c>
      <c r="C26" s="40" t="s">
        <v>55</v>
      </c>
      <c r="D26" s="6" t="s">
        <v>56</v>
      </c>
      <c r="E26" s="6" t="s">
        <v>76</v>
      </c>
      <c r="F26" s="7">
        <v>45972</v>
      </c>
      <c r="G26" s="8">
        <v>1</v>
      </c>
      <c r="H26" s="2" t="s">
        <v>40</v>
      </c>
      <c r="I26" s="9" t="str">
        <f>_xlfn.XLOOKUP(Timeform[[#This Row],[Vaardigheid]],Lijsten!C:C,Lijsten!A:A)</f>
        <v>Manage &amp; Control</v>
      </c>
    </row>
    <row r="27" spans="2:9" ht="15">
      <c r="B27" s="2" t="s">
        <v>3</v>
      </c>
      <c r="C27" s="2" t="s">
        <v>77</v>
      </c>
      <c r="D27" s="6" t="s">
        <v>78</v>
      </c>
      <c r="E27" s="6" t="s">
        <v>79</v>
      </c>
      <c r="F27" s="41">
        <v>45973</v>
      </c>
      <c r="G27" s="8">
        <v>1</v>
      </c>
      <c r="H27" s="2" t="s">
        <v>40</v>
      </c>
      <c r="I27" s="9" t="str">
        <f>_xlfn.XLOOKUP(Timeform[[#This Row],[Vaardigheid]],Lijsten!C:C,Lijsten!A:A)</f>
        <v>Ontwerpen</v>
      </c>
    </row>
    <row r="28" spans="2:9" ht="15">
      <c r="B28" s="2" t="s">
        <v>3</v>
      </c>
      <c r="C28" s="2" t="s">
        <v>77</v>
      </c>
      <c r="D28" s="6" t="s">
        <v>80</v>
      </c>
      <c r="E28" s="6" t="s">
        <v>79</v>
      </c>
      <c r="F28" s="41">
        <v>45973</v>
      </c>
      <c r="G28" s="8">
        <v>1</v>
      </c>
      <c r="H28" s="2" t="s">
        <v>40</v>
      </c>
      <c r="I28" s="9" t="str">
        <f>_xlfn.XLOOKUP(Timeform[[#This Row],[Vaardigheid]],Lijsten!C:C,Lijsten!A:A)</f>
        <v>Ontwerpen</v>
      </c>
    </row>
    <row r="29" spans="2:9" ht="15">
      <c r="B29" s="2" t="s">
        <v>3</v>
      </c>
      <c r="C29" s="2" t="s">
        <v>77</v>
      </c>
      <c r="D29" s="80" t="s">
        <v>81</v>
      </c>
      <c r="E29" s="6" t="s">
        <v>79</v>
      </c>
      <c r="F29" s="7">
        <v>45973</v>
      </c>
      <c r="G29" s="8">
        <v>0.5</v>
      </c>
      <c r="H29" s="2" t="s">
        <v>40</v>
      </c>
      <c r="I29" s="9" t="str">
        <f>_xlfn.XLOOKUP(Timeform[[#This Row],[Vaardigheid]],Lijsten!C:C,Lijsten!A:A)</f>
        <v>Realiseren</v>
      </c>
    </row>
    <row r="30" spans="2:9" ht="29.25">
      <c r="B30" s="2" t="s">
        <v>3</v>
      </c>
      <c r="C30" s="2" t="s">
        <v>77</v>
      </c>
      <c r="D30" s="6" t="s">
        <v>81</v>
      </c>
      <c r="E30" s="6" t="s">
        <v>82</v>
      </c>
      <c r="F30" s="7">
        <v>45973</v>
      </c>
      <c r="G30" s="8">
        <v>1</v>
      </c>
      <c r="H30" s="2" t="s">
        <v>40</v>
      </c>
      <c r="I30" s="9" t="str">
        <f>_xlfn.XLOOKUP(Timeform[[#This Row],[Vaardigheid]],Lijsten!C:C,Lijsten!A:A)</f>
        <v>Realiseren</v>
      </c>
    </row>
    <row r="31" spans="2:9" ht="15">
      <c r="B31" s="2" t="s">
        <v>2</v>
      </c>
      <c r="C31" s="2" t="s">
        <v>55</v>
      </c>
      <c r="D31" s="6" t="s">
        <v>83</v>
      </c>
      <c r="E31" s="6" t="s">
        <v>84</v>
      </c>
      <c r="F31" s="7">
        <v>45973</v>
      </c>
      <c r="G31" s="8">
        <v>0.35</v>
      </c>
      <c r="H31" s="2" t="s">
        <v>40</v>
      </c>
      <c r="I31" s="9" t="str">
        <f>_xlfn.XLOOKUP(Timeform[[#This Row],[Vaardigheid]],Lijsten!C:C,Lijsten!A:A)</f>
        <v>Realiseren</v>
      </c>
    </row>
    <row r="32" spans="2:9" ht="15">
      <c r="B32" s="2" t="s">
        <v>2</v>
      </c>
      <c r="C32" s="39" t="s">
        <v>50</v>
      </c>
      <c r="D32" s="6" t="s">
        <v>60</v>
      </c>
      <c r="E32" s="6" t="s">
        <v>85</v>
      </c>
      <c r="F32" s="7">
        <v>45974</v>
      </c>
      <c r="G32" s="8">
        <v>2</v>
      </c>
      <c r="H32" s="2" t="s">
        <v>40</v>
      </c>
      <c r="I32" s="9" t="s">
        <v>86</v>
      </c>
    </row>
    <row r="33" spans="2:9" ht="15">
      <c r="B33" s="2" t="s">
        <v>2</v>
      </c>
      <c r="C33" s="39" t="s">
        <v>50</v>
      </c>
      <c r="D33" s="6" t="s">
        <v>87</v>
      </c>
      <c r="E33" s="6" t="s">
        <v>88</v>
      </c>
      <c r="F33" s="7">
        <v>45974</v>
      </c>
      <c r="G33" s="8">
        <v>0.5</v>
      </c>
      <c r="H33" s="2" t="s">
        <v>40</v>
      </c>
      <c r="I33" s="9" t="str">
        <f>_xlfn.XLOOKUP(Timeform[[#This Row],[Vaardigheid]],Lijsten!C:C,Lijsten!A:A)</f>
        <v>Adviseren</v>
      </c>
    </row>
    <row r="34" spans="2:9" ht="15">
      <c r="B34" s="2" t="s">
        <v>3</v>
      </c>
      <c r="C34" s="39" t="s">
        <v>50</v>
      </c>
      <c r="D34" s="6" t="s">
        <v>89</v>
      </c>
      <c r="E34" s="6" t="s">
        <v>90</v>
      </c>
      <c r="F34" s="7">
        <v>45974</v>
      </c>
      <c r="G34" s="8">
        <v>0.5</v>
      </c>
      <c r="H34" s="2" t="s">
        <v>40</v>
      </c>
      <c r="I34" s="9" t="str">
        <f>_xlfn.XLOOKUP(Timeform[[#This Row],[Vaardigheid]],Lijsten!C:C,Lijsten!A:A)</f>
        <v>Adviseren</v>
      </c>
    </row>
    <row r="35" spans="2:9" ht="29.25">
      <c r="B35" s="2" t="s">
        <v>3</v>
      </c>
      <c r="C35" s="2" t="s">
        <v>37</v>
      </c>
      <c r="D35" s="6" t="s">
        <v>48</v>
      </c>
      <c r="E35" s="6" t="s">
        <v>91</v>
      </c>
      <c r="F35" s="7">
        <v>45974</v>
      </c>
      <c r="G35" s="8">
        <v>3.5</v>
      </c>
      <c r="H35" s="2" t="s">
        <v>40</v>
      </c>
      <c r="I35" s="9" t="str">
        <f>_xlfn.XLOOKUP(Timeform[[#This Row],[Vaardigheid]],Lijsten!C:C,Lijsten!A:A)</f>
        <v>Analyseren</v>
      </c>
    </row>
    <row r="36" spans="2:9" ht="15">
      <c r="B36" s="2" t="s">
        <v>7</v>
      </c>
      <c r="C36" s="2" t="s">
        <v>50</v>
      </c>
      <c r="D36" s="6" t="s">
        <v>92</v>
      </c>
      <c r="E36" s="6" t="s">
        <v>93</v>
      </c>
      <c r="F36" s="7">
        <v>45974</v>
      </c>
      <c r="G36" s="8">
        <v>2.5</v>
      </c>
      <c r="H36" s="2" t="s">
        <v>40</v>
      </c>
      <c r="I36" s="9" t="str">
        <f>_xlfn.XLOOKUP(Timeform[[#This Row],[Vaardigheid]],Lijsten!C:C,Lijsten!A:A)</f>
        <v>Adviseren</v>
      </c>
    </row>
    <row r="37" spans="2:9" ht="15">
      <c r="B37" s="2" t="s">
        <v>7</v>
      </c>
      <c r="C37" s="2" t="s">
        <v>50</v>
      </c>
      <c r="D37" s="6" t="s">
        <v>60</v>
      </c>
      <c r="E37" s="6" t="s">
        <v>94</v>
      </c>
      <c r="F37" s="7">
        <v>45975</v>
      </c>
      <c r="G37" s="8">
        <v>1</v>
      </c>
      <c r="H37" s="2" t="s">
        <v>40</v>
      </c>
      <c r="I37" s="9" t="str">
        <f>_xlfn.XLOOKUP(Timeform[[#This Row],[Vaardigheid]],Lijsten!C:C,Lijsten!A:A)</f>
        <v>Realiseren</v>
      </c>
    </row>
    <row r="38" spans="2:9" ht="15">
      <c r="B38" s="2" t="s">
        <v>3</v>
      </c>
      <c r="C38" s="2" t="s">
        <v>50</v>
      </c>
      <c r="D38" s="6" t="s">
        <v>95</v>
      </c>
      <c r="E38" s="6" t="s">
        <v>96</v>
      </c>
      <c r="F38" s="7">
        <v>45975</v>
      </c>
      <c r="G38" s="8">
        <v>2.5</v>
      </c>
      <c r="H38" s="2" t="s">
        <v>40</v>
      </c>
      <c r="I38" s="9" t="str">
        <f>_xlfn.XLOOKUP(Timeform[[#This Row],[Vaardigheid]],Lijsten!C:C,Lijsten!A:A)</f>
        <v>Adviseren</v>
      </c>
    </row>
    <row r="39" spans="2:9" ht="15">
      <c r="B39" s="2" t="s">
        <v>2</v>
      </c>
      <c r="C39" s="2" t="s">
        <v>50</v>
      </c>
      <c r="D39" s="6" t="s">
        <v>97</v>
      </c>
      <c r="E39" s="6" t="s">
        <v>98</v>
      </c>
      <c r="F39" s="7">
        <v>45975</v>
      </c>
      <c r="G39" s="8">
        <v>0.5</v>
      </c>
      <c r="H39" s="2" t="s">
        <v>40</v>
      </c>
      <c r="I39" s="9" t="str">
        <f>_xlfn.XLOOKUP(Timeform[[#This Row],[Vaardigheid]],Lijsten!C:C,Lijsten!A:A)</f>
        <v>Analyseren</v>
      </c>
    </row>
    <row r="40" spans="2:9" ht="15">
      <c r="B40" s="2" t="s">
        <v>2</v>
      </c>
      <c r="C40" s="2" t="s">
        <v>50</v>
      </c>
      <c r="D40" s="6" t="s">
        <v>60</v>
      </c>
      <c r="E40" s="6" t="s">
        <v>99</v>
      </c>
      <c r="F40" s="7">
        <v>45975</v>
      </c>
      <c r="G40" s="8">
        <v>0.75</v>
      </c>
      <c r="H40" s="2" t="s">
        <v>40</v>
      </c>
      <c r="I40" s="9" t="str">
        <f>_xlfn.XLOOKUP(Timeform[[#This Row],[Vaardigheid]],Lijsten!C:C,Lijsten!A:A)</f>
        <v>Realiseren</v>
      </c>
    </row>
    <row r="41" spans="2:9" ht="15">
      <c r="B41" s="2" t="s">
        <v>2</v>
      </c>
      <c r="C41" s="2" t="s">
        <v>55</v>
      </c>
      <c r="D41" s="6" t="s">
        <v>100</v>
      </c>
      <c r="E41" s="6" t="s">
        <v>101</v>
      </c>
      <c r="F41" s="7">
        <v>45975</v>
      </c>
      <c r="G41" s="8">
        <v>0.75</v>
      </c>
      <c r="H41" s="2" t="s">
        <v>40</v>
      </c>
      <c r="I41" s="9" t="str">
        <f>_xlfn.XLOOKUP(Timeform[[#This Row],[Vaardigheid]],Lijsten!C:C,Lijsten!A:A)</f>
        <v>Realiseren</v>
      </c>
    </row>
    <row r="42" spans="2:9" ht="15">
      <c r="B42" s="2" t="s">
        <v>3</v>
      </c>
      <c r="C42" s="2" t="s">
        <v>50</v>
      </c>
      <c r="D42" s="6" t="s">
        <v>60</v>
      </c>
      <c r="E42" s="6" t="s">
        <v>102</v>
      </c>
      <c r="F42" s="7">
        <v>45975</v>
      </c>
      <c r="G42" s="8">
        <v>0.75</v>
      </c>
      <c r="H42" s="2" t="s">
        <v>40</v>
      </c>
      <c r="I42" s="9" t="str">
        <f>_xlfn.XLOOKUP(Timeform[[#This Row],[Vaardigheid]],Lijsten!C:C,Lijsten!A:A)</f>
        <v>Realiseren</v>
      </c>
    </row>
    <row r="43" spans="2:9" ht="15">
      <c r="B43" s="2" t="s">
        <v>2</v>
      </c>
      <c r="C43" s="2" t="s">
        <v>55</v>
      </c>
      <c r="D43" s="6" t="s">
        <v>103</v>
      </c>
      <c r="E43" s="6" t="s">
        <v>104</v>
      </c>
      <c r="F43" s="7">
        <v>45975</v>
      </c>
      <c r="G43" s="8">
        <v>0.3</v>
      </c>
      <c r="H43" s="2" t="s">
        <v>40</v>
      </c>
      <c r="I43" s="9" t="str">
        <f>_xlfn.XLOOKUP(Timeform[[#This Row],[Vaardigheid]],Lijsten!C:C,Lijsten!A:A)</f>
        <v>Realiseren</v>
      </c>
    </row>
    <row r="44" spans="2:9" ht="15">
      <c r="B44" s="2" t="s">
        <v>2</v>
      </c>
      <c r="C44" s="2" t="s">
        <v>55</v>
      </c>
      <c r="D44" s="6" t="s">
        <v>103</v>
      </c>
      <c r="E44" s="6" t="s">
        <v>105</v>
      </c>
      <c r="F44" s="7">
        <v>45975</v>
      </c>
      <c r="G44" s="8">
        <v>0.3</v>
      </c>
      <c r="H44" s="2" t="s">
        <v>40</v>
      </c>
      <c r="I44" s="9" t="str">
        <f>_xlfn.XLOOKUP(Timeform[[#This Row],[Vaardigheid]],Lijsten!C:C,Lijsten!A:A)</f>
        <v>Realiseren</v>
      </c>
    </row>
    <row r="45" spans="2:9" ht="15">
      <c r="B45" s="2" t="s">
        <v>2</v>
      </c>
      <c r="C45" s="2" t="s">
        <v>55</v>
      </c>
      <c r="D45" s="6" t="s">
        <v>103</v>
      </c>
      <c r="E45" s="6" t="s">
        <v>106</v>
      </c>
      <c r="F45" s="7">
        <v>45975</v>
      </c>
      <c r="G45" s="8">
        <v>0.3</v>
      </c>
      <c r="H45" s="2" t="s">
        <v>40</v>
      </c>
      <c r="I45" s="9" t="str">
        <f>_xlfn.XLOOKUP(Timeform[[#This Row],[Vaardigheid]],Lijsten!C:C,Lijsten!A:A)</f>
        <v>Realiseren</v>
      </c>
    </row>
    <row r="46" spans="2:9" ht="29.25">
      <c r="B46" s="2" t="s">
        <v>2</v>
      </c>
      <c r="C46" s="2" t="s">
        <v>77</v>
      </c>
      <c r="D46" s="6" t="s">
        <v>107</v>
      </c>
      <c r="E46" s="6" t="s">
        <v>108</v>
      </c>
      <c r="F46" s="7">
        <v>45975</v>
      </c>
      <c r="G46" s="8">
        <v>0.3</v>
      </c>
      <c r="H46" s="2" t="s">
        <v>40</v>
      </c>
      <c r="I46" s="9" t="str">
        <f>_xlfn.XLOOKUP(Timeform[[#This Row],[Vaardigheid]],Lijsten!C:C,Lijsten!A:A)</f>
        <v>Realiseren</v>
      </c>
    </row>
    <row r="47" spans="2:9" ht="29.25">
      <c r="B47" s="2" t="s">
        <v>2</v>
      </c>
      <c r="C47" s="2" t="s">
        <v>77</v>
      </c>
      <c r="D47" s="6" t="s">
        <v>107</v>
      </c>
      <c r="E47" s="44" t="s">
        <v>108</v>
      </c>
      <c r="F47" s="7">
        <v>45975</v>
      </c>
      <c r="G47" s="8">
        <v>0.3</v>
      </c>
      <c r="H47" s="2" t="s">
        <v>40</v>
      </c>
      <c r="I47" s="9" t="str">
        <f>_xlfn.XLOOKUP(Timeform[[#This Row],[Vaardigheid]],Lijsten!C:C,Lijsten!A:A)</f>
        <v>Realiseren</v>
      </c>
    </row>
    <row r="48" spans="2:9" ht="15">
      <c r="B48" s="2" t="s">
        <v>2</v>
      </c>
      <c r="C48" s="2" t="s">
        <v>55</v>
      </c>
      <c r="D48" s="17" t="s">
        <v>109</v>
      </c>
      <c r="E48" s="6" t="s">
        <v>110</v>
      </c>
      <c r="F48" s="7">
        <v>45975</v>
      </c>
      <c r="G48" s="8">
        <v>0.3</v>
      </c>
      <c r="H48" s="2" t="s">
        <v>40</v>
      </c>
      <c r="I48" s="9" t="str">
        <f>_xlfn.XLOOKUP(Timeform[[#This Row],[Vaardigheid]],Lijsten!C:C,Lijsten!A:A)</f>
        <v>Manage &amp; Control</v>
      </c>
    </row>
    <row r="49" spans="2:9" ht="29.25">
      <c r="B49" s="2" t="s">
        <v>2</v>
      </c>
      <c r="C49" s="2" t="s">
        <v>50</v>
      </c>
      <c r="D49" s="6" t="s">
        <v>60</v>
      </c>
      <c r="E49" s="6" t="s">
        <v>111</v>
      </c>
      <c r="F49" s="7">
        <v>45975</v>
      </c>
      <c r="G49" s="8">
        <v>0.15</v>
      </c>
      <c r="H49" s="2" t="s">
        <v>40</v>
      </c>
      <c r="I49" s="9" t="str">
        <f>_xlfn.XLOOKUP(Timeform[[#This Row],[Vaardigheid]],Lijsten!C:C,Lijsten!A:A)</f>
        <v>Realiseren</v>
      </c>
    </row>
    <row r="50" spans="2:9" ht="29.25">
      <c r="B50" s="2" t="s">
        <v>2</v>
      </c>
      <c r="C50" s="2" t="s">
        <v>37</v>
      </c>
      <c r="D50" s="43" t="s">
        <v>38</v>
      </c>
      <c r="E50" s="6" t="s">
        <v>112</v>
      </c>
      <c r="F50" s="7">
        <v>45976</v>
      </c>
      <c r="G50" s="8">
        <v>2.25</v>
      </c>
      <c r="H50" s="2" t="s">
        <v>40</v>
      </c>
      <c r="I50" s="9" t="str">
        <f>_xlfn.XLOOKUP(Timeform[[#This Row],[Vaardigheid]],Lijsten!C:C,Lijsten!A:A)</f>
        <v>Analyseren</v>
      </c>
    </row>
    <row r="51" spans="2:9" ht="29.25">
      <c r="B51" s="2" t="s">
        <v>2</v>
      </c>
      <c r="C51" s="2" t="s">
        <v>64</v>
      </c>
      <c r="D51" s="6" t="s">
        <v>113</v>
      </c>
      <c r="E51" s="6" t="s">
        <v>112</v>
      </c>
      <c r="F51" s="7">
        <v>45976</v>
      </c>
      <c r="G51" s="8">
        <v>1.25</v>
      </c>
      <c r="H51" s="2" t="s">
        <v>40</v>
      </c>
      <c r="I51" s="9" t="str">
        <f>_xlfn.XLOOKUP(Timeform[[#This Row],[Vaardigheid]],Lijsten!C:C,Lijsten!A:A)</f>
        <v>Ontwerpen</v>
      </c>
    </row>
    <row r="52" spans="2:9" ht="29.25">
      <c r="B52" s="2" t="s">
        <v>2</v>
      </c>
      <c r="C52" s="2" t="s">
        <v>64</v>
      </c>
      <c r="D52" s="6" t="s">
        <v>114</v>
      </c>
      <c r="E52" s="6" t="s">
        <v>112</v>
      </c>
      <c r="F52" s="7">
        <v>45976</v>
      </c>
      <c r="G52" s="8">
        <v>1.25</v>
      </c>
      <c r="H52" s="2" t="s">
        <v>40</v>
      </c>
      <c r="I52" s="9" t="str">
        <f>_xlfn.XLOOKUP(Timeform[[#This Row],[Vaardigheid]],Lijsten!C:C,Lijsten!A:A)</f>
        <v>Adviseren</v>
      </c>
    </row>
    <row r="53" spans="2:9" ht="15">
      <c r="B53" s="2" t="s">
        <v>3</v>
      </c>
      <c r="C53" s="2" t="s">
        <v>50</v>
      </c>
      <c r="D53" s="6" t="s">
        <v>115</v>
      </c>
      <c r="E53" s="6" t="s">
        <v>116</v>
      </c>
      <c r="F53" s="7">
        <v>45977</v>
      </c>
      <c r="G53" s="8">
        <v>2</v>
      </c>
      <c r="H53" s="2" t="s">
        <v>40</v>
      </c>
      <c r="I53" s="9" t="str">
        <f>_xlfn.XLOOKUP(Timeform[[#This Row],[Vaardigheid]],Lijsten!C:C,Lijsten!A:A)</f>
        <v>Adviseren</v>
      </c>
    </row>
    <row r="54" spans="2:9" ht="15">
      <c r="B54" s="2" t="s">
        <v>2</v>
      </c>
      <c r="C54" s="2" t="s">
        <v>50</v>
      </c>
      <c r="D54" s="6" t="s">
        <v>115</v>
      </c>
      <c r="E54" s="6" t="s">
        <v>117</v>
      </c>
      <c r="F54" s="7">
        <v>45977</v>
      </c>
      <c r="G54" s="8">
        <v>0.5</v>
      </c>
      <c r="H54" s="2" t="s">
        <v>40</v>
      </c>
      <c r="I54" s="9" t="str">
        <f>_xlfn.XLOOKUP(Timeform[[#This Row],[Vaardigheid]],Lijsten!C:C,Lijsten!A:A)</f>
        <v>Adviseren</v>
      </c>
    </row>
    <row r="55" spans="2:9" ht="15">
      <c r="B55" s="2" t="s">
        <v>5</v>
      </c>
      <c r="C55" s="2" t="s">
        <v>50</v>
      </c>
      <c r="D55" s="6" t="s">
        <v>115</v>
      </c>
      <c r="E55" s="6" t="s">
        <v>117</v>
      </c>
      <c r="F55" s="7">
        <v>45977</v>
      </c>
      <c r="G55" s="8">
        <v>0.5</v>
      </c>
      <c r="H55" s="2" t="s">
        <v>40</v>
      </c>
      <c r="I55" s="9" t="str">
        <f>_xlfn.XLOOKUP(Timeform[[#This Row],[Vaardigheid]],Lijsten!C:C,Lijsten!A:A)</f>
        <v>Adviseren</v>
      </c>
    </row>
    <row r="56" spans="2:9" ht="15">
      <c r="B56" s="111" t="s">
        <v>7</v>
      </c>
      <c r="C56" s="111" t="s">
        <v>50</v>
      </c>
      <c r="D56" s="116" t="s">
        <v>115</v>
      </c>
      <c r="E56" s="116" t="s">
        <v>118</v>
      </c>
      <c r="F56" s="122">
        <v>45977</v>
      </c>
      <c r="G56" s="125">
        <v>2</v>
      </c>
      <c r="H56" s="111" t="s">
        <v>40</v>
      </c>
      <c r="I56" s="9" t="str">
        <f>_xlfn.XLOOKUP(Timeform[[#This Row],[Vaardigheid]],Lijsten!C:C,Lijsten!A:A)</f>
        <v>Adviseren</v>
      </c>
    </row>
    <row r="57" spans="2:9" ht="15">
      <c r="B57" s="2" t="s">
        <v>3</v>
      </c>
      <c r="C57" s="2" t="s">
        <v>50</v>
      </c>
      <c r="D57" s="6" t="s">
        <v>115</v>
      </c>
      <c r="E57" s="6" t="s">
        <v>119</v>
      </c>
      <c r="F57" s="7">
        <v>45978</v>
      </c>
      <c r="G57" s="8">
        <v>0.5</v>
      </c>
      <c r="H57" s="2" t="s">
        <v>120</v>
      </c>
      <c r="I57" s="9" t="str">
        <f>_xlfn.XLOOKUP(Timeform[[#This Row],[Vaardigheid]],Lijsten!C:C,Lijsten!A:A)</f>
        <v>Adviseren</v>
      </c>
    </row>
    <row r="58" spans="2:9" ht="15">
      <c r="B58" s="2" t="s">
        <v>2</v>
      </c>
      <c r="C58" s="2" t="s">
        <v>50</v>
      </c>
      <c r="D58" s="6" t="s">
        <v>115</v>
      </c>
      <c r="E58" s="6" t="s">
        <v>121</v>
      </c>
      <c r="F58" s="7">
        <v>45978</v>
      </c>
      <c r="G58" s="8">
        <v>0.5</v>
      </c>
      <c r="H58" s="2" t="s">
        <v>120</v>
      </c>
      <c r="I58" s="9" t="str">
        <f>_xlfn.XLOOKUP(Timeform[[#This Row],[Vaardigheid]],Lijsten!C:C,Lijsten!A:A)</f>
        <v>Adviseren</v>
      </c>
    </row>
    <row r="59" spans="2:9" ht="15">
      <c r="B59" s="2" t="s">
        <v>3</v>
      </c>
      <c r="C59" s="2" t="s">
        <v>37</v>
      </c>
      <c r="D59" s="6" t="s">
        <v>43</v>
      </c>
      <c r="E59" s="6" t="s">
        <v>122</v>
      </c>
      <c r="F59" s="7">
        <v>45978</v>
      </c>
      <c r="G59" s="8">
        <v>0.5</v>
      </c>
      <c r="H59" s="2" t="s">
        <v>120</v>
      </c>
      <c r="I59" s="9" t="str">
        <f>_xlfn.XLOOKUP(Timeform[[#This Row],[Vaardigheid]],Lijsten!C:C,Lijsten!A:A)</f>
        <v>Analyseren</v>
      </c>
    </row>
    <row r="60" spans="2:9" ht="15">
      <c r="B60" s="2" t="s">
        <v>2</v>
      </c>
      <c r="C60" s="2" t="s">
        <v>50</v>
      </c>
      <c r="D60" s="6" t="s">
        <v>87</v>
      </c>
      <c r="E60" s="6" t="s">
        <v>123</v>
      </c>
      <c r="F60" s="7">
        <v>45978</v>
      </c>
      <c r="G60" s="8">
        <v>0.15</v>
      </c>
      <c r="H60" s="2" t="s">
        <v>120</v>
      </c>
      <c r="I60" s="9" t="str">
        <f>_xlfn.XLOOKUP(Timeform[[#This Row],[Vaardigheid]],Lijsten!C:C,Lijsten!A:A)</f>
        <v>Adviseren</v>
      </c>
    </row>
    <row r="61" spans="2:9" ht="15">
      <c r="B61" s="2" t="s">
        <v>3</v>
      </c>
      <c r="C61" s="2" t="s">
        <v>50</v>
      </c>
      <c r="D61" s="6" t="s">
        <v>87</v>
      </c>
      <c r="E61" s="6" t="s">
        <v>123</v>
      </c>
      <c r="F61" s="7">
        <v>45978</v>
      </c>
      <c r="G61" s="8">
        <v>0.15</v>
      </c>
      <c r="H61" s="2" t="s">
        <v>120</v>
      </c>
      <c r="I61" s="9" t="str">
        <f>_xlfn.XLOOKUP(Timeform[[#This Row],[Vaardigheid]],Lijsten!C:C,Lijsten!A:A)</f>
        <v>Adviseren</v>
      </c>
    </row>
    <row r="62" spans="2:9" ht="15">
      <c r="B62" s="2" t="s">
        <v>2</v>
      </c>
      <c r="C62" s="2" t="s">
        <v>50</v>
      </c>
      <c r="D62" s="6" t="s">
        <v>89</v>
      </c>
      <c r="E62" s="6" t="s">
        <v>123</v>
      </c>
      <c r="F62" s="7">
        <v>45978</v>
      </c>
      <c r="G62" s="8">
        <v>0.15</v>
      </c>
      <c r="H62" s="2" t="s">
        <v>120</v>
      </c>
      <c r="I62" s="9" t="str">
        <f>_xlfn.XLOOKUP(Timeform[[#This Row],[Vaardigheid]],Lijsten!C:C,Lijsten!A:A)</f>
        <v>Adviseren</v>
      </c>
    </row>
    <row r="63" spans="2:9" ht="15">
      <c r="B63" s="2" t="s">
        <v>3</v>
      </c>
      <c r="C63" s="2" t="s">
        <v>50</v>
      </c>
      <c r="D63" s="6" t="s">
        <v>89</v>
      </c>
      <c r="E63" s="6" t="s">
        <v>123</v>
      </c>
      <c r="F63" s="7">
        <v>45978</v>
      </c>
      <c r="G63" s="8">
        <v>0.15</v>
      </c>
      <c r="H63" s="2" t="s">
        <v>120</v>
      </c>
      <c r="I63" s="9" t="str">
        <f>_xlfn.XLOOKUP(Timeform[[#This Row],[Vaardigheid]],Lijsten!C:C,Lijsten!A:A)</f>
        <v>Adviseren</v>
      </c>
    </row>
    <row r="64" spans="2:9" ht="15">
      <c r="B64" s="2" t="s">
        <v>5</v>
      </c>
      <c r="C64" s="25" t="s">
        <v>37</v>
      </c>
      <c r="D64" s="6" t="s">
        <v>43</v>
      </c>
      <c r="E64" s="6" t="s">
        <v>122</v>
      </c>
      <c r="F64" s="7">
        <v>45978</v>
      </c>
      <c r="G64" s="8">
        <v>0.5</v>
      </c>
      <c r="H64" s="2" t="s">
        <v>120</v>
      </c>
      <c r="I64" s="9" t="str">
        <f>_xlfn.XLOOKUP(Timeform[[#This Row],[Vaardigheid]],Lijsten!C:C,Lijsten!A:A)</f>
        <v>Analyseren</v>
      </c>
    </row>
    <row r="65" spans="2:9" ht="15">
      <c r="B65" s="2" t="s">
        <v>5</v>
      </c>
      <c r="C65" s="25" t="s">
        <v>50</v>
      </c>
      <c r="D65" s="6" t="s">
        <v>87</v>
      </c>
      <c r="E65" s="6" t="s">
        <v>123</v>
      </c>
      <c r="F65" s="7">
        <v>45978</v>
      </c>
      <c r="G65" s="8">
        <v>0.15</v>
      </c>
      <c r="H65" s="2" t="s">
        <v>120</v>
      </c>
      <c r="I65" s="9" t="str">
        <f>_xlfn.XLOOKUP(Timeform[[#This Row],[Vaardigheid]],Lijsten!C:C,Lijsten!A:A)</f>
        <v>Adviseren</v>
      </c>
    </row>
    <row r="66" spans="2:9" ht="15">
      <c r="B66" s="2" t="s">
        <v>5</v>
      </c>
      <c r="C66" s="2" t="s">
        <v>50</v>
      </c>
      <c r="D66" s="6" t="s">
        <v>89</v>
      </c>
      <c r="E66" s="6" t="s">
        <v>123</v>
      </c>
      <c r="F66" s="47">
        <v>45978</v>
      </c>
      <c r="G66" s="8">
        <v>0.15</v>
      </c>
      <c r="H66" s="2" t="s">
        <v>120</v>
      </c>
      <c r="I66" s="9" t="str">
        <f>_xlfn.XLOOKUP(Timeform[[#This Row],[Vaardigheid]],Lijsten!C:C,Lijsten!A:A)</f>
        <v>Adviseren</v>
      </c>
    </row>
    <row r="67" spans="2:9" ht="15">
      <c r="B67" s="2" t="s">
        <v>2</v>
      </c>
      <c r="C67" s="2" t="s">
        <v>50</v>
      </c>
      <c r="D67" s="6" t="s">
        <v>71</v>
      </c>
      <c r="E67" s="6" t="s">
        <v>124</v>
      </c>
      <c r="F67" s="7">
        <v>45979</v>
      </c>
      <c r="G67" s="8">
        <v>3</v>
      </c>
      <c r="H67" s="2" t="s">
        <v>120</v>
      </c>
      <c r="I67" s="9" t="str">
        <f>_xlfn.XLOOKUP(Timeform[[#This Row],[Vaardigheid]],Lijsten!C:C,Lijsten!A:A)</f>
        <v>Analyseren</v>
      </c>
    </row>
    <row r="68" spans="2:9" ht="15">
      <c r="B68" s="2" t="s">
        <v>3</v>
      </c>
      <c r="C68" s="2" t="s">
        <v>50</v>
      </c>
      <c r="D68" s="6" t="s">
        <v>71</v>
      </c>
      <c r="E68" s="6" t="s">
        <v>124</v>
      </c>
      <c r="F68" s="7">
        <v>45979</v>
      </c>
      <c r="G68" s="8">
        <v>3</v>
      </c>
      <c r="H68" s="2" t="s">
        <v>120</v>
      </c>
      <c r="I68" s="9" t="str">
        <f>_xlfn.XLOOKUP(Timeform[[#This Row],[Vaardigheid]],Lijsten!C:C,Lijsten!A:A)</f>
        <v>Analyseren</v>
      </c>
    </row>
    <row r="69" spans="2:9" ht="15">
      <c r="B69" s="2" t="s">
        <v>5</v>
      </c>
      <c r="C69" s="2" t="s">
        <v>50</v>
      </c>
      <c r="D69" s="6" t="s">
        <v>71</v>
      </c>
      <c r="E69" s="6" t="s">
        <v>124</v>
      </c>
      <c r="F69" s="7">
        <v>45979</v>
      </c>
      <c r="G69" s="8">
        <v>3</v>
      </c>
      <c r="H69" s="2" t="s">
        <v>120</v>
      </c>
      <c r="I69" s="9" t="str">
        <f>_xlfn.XLOOKUP(Timeform[[#This Row],[Vaardigheid]],Lijsten!C:C,Lijsten!A:A)</f>
        <v>Analyseren</v>
      </c>
    </row>
    <row r="70" spans="2:9" ht="15">
      <c r="B70" s="2" t="s">
        <v>2</v>
      </c>
      <c r="C70" s="2" t="s">
        <v>50</v>
      </c>
      <c r="D70" s="6" t="s">
        <v>125</v>
      </c>
      <c r="E70" s="6" t="s">
        <v>126</v>
      </c>
      <c r="F70" s="7">
        <v>45979</v>
      </c>
      <c r="G70" s="8">
        <v>0.5</v>
      </c>
      <c r="H70" s="2" t="s">
        <v>120</v>
      </c>
      <c r="I70" s="9" t="str">
        <f>_xlfn.XLOOKUP(Timeform[[#This Row],[Vaardigheid]],Lijsten!C:C,Lijsten!A:A)</f>
        <v>Analyseren</v>
      </c>
    </row>
    <row r="71" spans="2:9" ht="15">
      <c r="B71" s="2" t="s">
        <v>2</v>
      </c>
      <c r="C71" s="2" t="s">
        <v>127</v>
      </c>
      <c r="D71" s="6" t="s">
        <v>128</v>
      </c>
      <c r="E71" s="6" t="s">
        <v>129</v>
      </c>
      <c r="F71" s="7">
        <v>45979</v>
      </c>
      <c r="G71" s="8">
        <v>0.75</v>
      </c>
      <c r="H71" s="2" t="s">
        <v>120</v>
      </c>
      <c r="I71" s="9" t="str">
        <f>_xlfn.XLOOKUP(Timeform[[#This Row],[Vaardigheid]],Lijsten!C:C,Lijsten!A:A)</f>
        <v>Realiseren</v>
      </c>
    </row>
    <row r="72" spans="2:9" ht="15">
      <c r="B72" s="2" t="s">
        <v>2</v>
      </c>
      <c r="C72" s="2" t="s">
        <v>55</v>
      </c>
      <c r="D72" s="6" t="s">
        <v>74</v>
      </c>
      <c r="E72" s="6" t="s">
        <v>130</v>
      </c>
      <c r="F72" s="7">
        <v>45979</v>
      </c>
      <c r="G72" s="8">
        <v>0.75</v>
      </c>
      <c r="H72" s="2" t="s">
        <v>120</v>
      </c>
      <c r="I72" s="9" t="str">
        <f>_xlfn.XLOOKUP(Timeform[[#This Row],[Vaardigheid]],Lijsten!C:C,Lijsten!A:A)</f>
        <v>Realiseren</v>
      </c>
    </row>
    <row r="73" spans="2:9" ht="29.25">
      <c r="B73" s="2" t="s">
        <v>2</v>
      </c>
      <c r="C73" s="2" t="s">
        <v>50</v>
      </c>
      <c r="D73" s="6" t="s">
        <v>60</v>
      </c>
      <c r="E73" s="6" t="s">
        <v>131</v>
      </c>
      <c r="F73" s="7">
        <v>45979</v>
      </c>
      <c r="G73" s="8">
        <v>0.5</v>
      </c>
      <c r="H73" s="2" t="s">
        <v>120</v>
      </c>
      <c r="I73" s="9" t="str">
        <f>_xlfn.XLOOKUP(Timeform[[#This Row],[Vaardigheid]],Lijsten!C:C,Lijsten!A:A)</f>
        <v>Realiseren</v>
      </c>
    </row>
    <row r="74" spans="2:9" ht="15">
      <c r="B74" s="2" t="s">
        <v>3</v>
      </c>
      <c r="C74" s="2" t="s">
        <v>50</v>
      </c>
      <c r="D74" s="6" t="s">
        <v>132</v>
      </c>
      <c r="E74" s="43" t="s">
        <v>54</v>
      </c>
      <c r="F74" s="7">
        <v>45979</v>
      </c>
      <c r="G74" s="8">
        <v>1</v>
      </c>
      <c r="H74" s="2" t="s">
        <v>120</v>
      </c>
      <c r="I74" s="9" t="str">
        <f>_xlfn.XLOOKUP(Timeform[[#This Row],[Vaardigheid]],Lijsten!C:C,Lijsten!A:A)</f>
        <v>Manage &amp; Control</v>
      </c>
    </row>
    <row r="75" spans="2:9" ht="29.25">
      <c r="B75" s="2" t="s">
        <v>2</v>
      </c>
      <c r="C75" s="2" t="s">
        <v>50</v>
      </c>
      <c r="D75" s="6" t="s">
        <v>92</v>
      </c>
      <c r="E75" s="6" t="s">
        <v>133</v>
      </c>
      <c r="F75" s="7">
        <v>45979</v>
      </c>
      <c r="G75" s="8">
        <v>2</v>
      </c>
      <c r="H75" s="2" t="s">
        <v>120</v>
      </c>
      <c r="I75" s="9" t="str">
        <f>_xlfn.XLOOKUP(Timeform[[#This Row],[Vaardigheid]],Lijsten!C:C,Lijsten!A:A)</f>
        <v>Adviseren</v>
      </c>
    </row>
    <row r="76" spans="2:9" ht="15">
      <c r="B76" s="2" t="s">
        <v>5</v>
      </c>
      <c r="C76" s="2" t="s">
        <v>50</v>
      </c>
      <c r="D76" s="6" t="s">
        <v>71</v>
      </c>
      <c r="E76" s="6" t="s">
        <v>124</v>
      </c>
      <c r="F76" s="47">
        <v>45979</v>
      </c>
      <c r="G76" s="8">
        <v>3</v>
      </c>
      <c r="H76" s="2" t="s">
        <v>120</v>
      </c>
      <c r="I76" s="9" t="str">
        <f>_xlfn.XLOOKUP(Timeform[[#This Row],[Vaardigheid]],Lijsten!C:C,Lijsten!A:A)</f>
        <v>Analyseren</v>
      </c>
    </row>
    <row r="77" spans="2:9" ht="15">
      <c r="B77" s="2" t="s">
        <v>5</v>
      </c>
      <c r="C77" s="2" t="s">
        <v>50</v>
      </c>
      <c r="D77" s="6" t="s">
        <v>132</v>
      </c>
      <c r="E77" s="90" t="s">
        <v>54</v>
      </c>
      <c r="F77" s="7">
        <v>45979</v>
      </c>
      <c r="G77" s="8">
        <v>1</v>
      </c>
      <c r="H77" s="2" t="s">
        <v>120</v>
      </c>
      <c r="I77" s="9" t="str">
        <f>_xlfn.XLOOKUP(Timeform[[#This Row],[Vaardigheid]],Lijsten!C:C,Lijsten!A:A)</f>
        <v>Manage &amp; Control</v>
      </c>
    </row>
    <row r="78" spans="2:9" ht="15">
      <c r="B78" s="2" t="s">
        <v>3</v>
      </c>
      <c r="C78" s="2" t="s">
        <v>64</v>
      </c>
      <c r="D78" s="6" t="s">
        <v>134</v>
      </c>
      <c r="E78" s="6" t="s">
        <v>135</v>
      </c>
      <c r="F78" s="7">
        <v>45980</v>
      </c>
      <c r="G78" s="8">
        <v>5</v>
      </c>
      <c r="H78" s="2" t="s">
        <v>120</v>
      </c>
      <c r="I78" s="9" t="str">
        <f>_xlfn.XLOOKUP(Timeform[[#This Row],[Vaardigheid]],Lijsten!C:C,Lijsten!A:A)</f>
        <v>Ontwerpen</v>
      </c>
    </row>
    <row r="79" spans="2:9" ht="43.5">
      <c r="B79" s="2" t="s">
        <v>2</v>
      </c>
      <c r="C79" s="2" t="s">
        <v>127</v>
      </c>
      <c r="D79" s="6" t="s">
        <v>128</v>
      </c>
      <c r="E79" s="6" t="s">
        <v>136</v>
      </c>
      <c r="F79" s="7">
        <v>45980</v>
      </c>
      <c r="G79" s="8">
        <v>5</v>
      </c>
      <c r="H79" s="2" t="s">
        <v>120</v>
      </c>
      <c r="I79" s="9" t="str">
        <f>_xlfn.XLOOKUP(Timeform[[#This Row],[Vaardigheid]],Lijsten!C:C,Lijsten!A:A)</f>
        <v>Realiseren</v>
      </c>
    </row>
    <row r="80" spans="2:9" ht="15">
      <c r="B80" s="2" t="s">
        <v>2</v>
      </c>
      <c r="C80" s="2" t="s">
        <v>77</v>
      </c>
      <c r="D80" s="6" t="s">
        <v>107</v>
      </c>
      <c r="E80" s="6" t="s">
        <v>137</v>
      </c>
      <c r="F80" s="7">
        <v>45980</v>
      </c>
      <c r="G80" s="8">
        <v>0.5</v>
      </c>
      <c r="H80" s="2" t="s">
        <v>120</v>
      </c>
      <c r="I80" s="9" t="str">
        <f>_xlfn.XLOOKUP(Timeform[[#This Row],[Vaardigheid]],Lijsten!C:C,Lijsten!A:A)</f>
        <v>Realiseren</v>
      </c>
    </row>
    <row r="81" spans="2:9" ht="15">
      <c r="B81" s="2" t="s">
        <v>3</v>
      </c>
      <c r="C81" s="2" t="s">
        <v>37</v>
      </c>
      <c r="D81" s="6" t="s">
        <v>43</v>
      </c>
      <c r="E81" s="6" t="s">
        <v>122</v>
      </c>
      <c r="F81" s="7">
        <v>45980</v>
      </c>
      <c r="G81" s="8">
        <v>0.5</v>
      </c>
      <c r="H81" s="2" t="s">
        <v>120</v>
      </c>
      <c r="I81" s="9" t="str">
        <f>_xlfn.XLOOKUP(Timeform[[#This Row],[Vaardigheid]],Lijsten!C:C,Lijsten!A:A)</f>
        <v>Analyseren</v>
      </c>
    </row>
    <row r="82" spans="2:9" ht="15">
      <c r="B82" s="2" t="s">
        <v>2</v>
      </c>
      <c r="C82" s="2" t="s">
        <v>50</v>
      </c>
      <c r="D82" s="6" t="s">
        <v>138</v>
      </c>
      <c r="E82" s="6" t="s">
        <v>139</v>
      </c>
      <c r="F82" s="7">
        <v>45980</v>
      </c>
      <c r="G82" s="8">
        <v>0.35</v>
      </c>
      <c r="H82" s="2" t="s">
        <v>120</v>
      </c>
      <c r="I82" s="9" t="str">
        <f>_xlfn.XLOOKUP(Timeform[[#This Row],[Vaardigheid]],Lijsten!C:C,Lijsten!A:A)</f>
        <v>Adviseren</v>
      </c>
    </row>
    <row r="83" spans="2:9" ht="15">
      <c r="B83" s="2" t="s">
        <v>3</v>
      </c>
      <c r="C83" s="2" t="s">
        <v>64</v>
      </c>
      <c r="D83" s="6" t="s">
        <v>134</v>
      </c>
      <c r="E83" s="6" t="s">
        <v>140</v>
      </c>
      <c r="F83" s="7">
        <v>45981</v>
      </c>
      <c r="G83" s="8">
        <v>3</v>
      </c>
      <c r="H83" s="2" t="s">
        <v>120</v>
      </c>
      <c r="I83" s="9" t="str">
        <f>_xlfn.XLOOKUP(Timeform[[#This Row],[Vaardigheid]],Lijsten!C:C,Lijsten!A:A)</f>
        <v>Ontwerpen</v>
      </c>
    </row>
    <row r="84" spans="2:9" ht="57.75">
      <c r="B84" s="2" t="s">
        <v>3</v>
      </c>
      <c r="C84" s="2" t="s">
        <v>127</v>
      </c>
      <c r="D84" s="6" t="s">
        <v>141</v>
      </c>
      <c r="E84" s="6" t="s">
        <v>142</v>
      </c>
      <c r="F84" s="7">
        <v>45981</v>
      </c>
      <c r="G84" s="8">
        <v>4</v>
      </c>
      <c r="H84" s="2" t="s">
        <v>120</v>
      </c>
      <c r="I84" s="9" t="str">
        <f>_xlfn.XLOOKUP(Timeform[[#This Row],[Vaardigheid]],Lijsten!C:C,Lijsten!A:A)</f>
        <v>Realiseren</v>
      </c>
    </row>
    <row r="85" spans="2:9" ht="15">
      <c r="B85" s="2" t="s">
        <v>7</v>
      </c>
      <c r="C85" s="2" t="s">
        <v>127</v>
      </c>
      <c r="D85" s="6" t="s">
        <v>128</v>
      </c>
      <c r="E85" s="6" t="s">
        <v>143</v>
      </c>
      <c r="F85" s="7">
        <v>45981</v>
      </c>
      <c r="G85" s="8">
        <v>3.5</v>
      </c>
      <c r="H85" s="2" t="s">
        <v>120</v>
      </c>
      <c r="I85" s="9" t="str">
        <f>_xlfn.XLOOKUP(Timeform[[#This Row],[Vaardigheid]],Lijsten!C:C,Lijsten!A:A)</f>
        <v>Realiseren</v>
      </c>
    </row>
    <row r="86" spans="2:9" ht="15">
      <c r="B86" s="2" t="s">
        <v>2</v>
      </c>
      <c r="C86" s="2" t="s">
        <v>50</v>
      </c>
      <c r="D86" s="6" t="s">
        <v>60</v>
      </c>
      <c r="E86" s="6" t="s">
        <v>144</v>
      </c>
      <c r="F86" s="7">
        <v>45981</v>
      </c>
      <c r="G86" s="8">
        <v>1</v>
      </c>
      <c r="H86" s="2" t="s">
        <v>120</v>
      </c>
      <c r="I86" s="9" t="str">
        <f>_xlfn.XLOOKUP(Timeform[[#This Row],[Vaardigheid]],Lijsten!C:C,Lijsten!A:A)</f>
        <v>Realiseren</v>
      </c>
    </row>
    <row r="87" spans="2:9" ht="15">
      <c r="B87" s="2" t="s">
        <v>2</v>
      </c>
      <c r="C87" s="2" t="s">
        <v>127</v>
      </c>
      <c r="D87" s="6" t="s">
        <v>145</v>
      </c>
      <c r="E87" s="6" t="s">
        <v>146</v>
      </c>
      <c r="F87" s="7">
        <v>45982</v>
      </c>
      <c r="G87" s="8">
        <v>0.5</v>
      </c>
      <c r="H87" s="2" t="s">
        <v>120</v>
      </c>
      <c r="I87" s="9" t="str">
        <f>_xlfn.XLOOKUP(Timeform[[#This Row],[Vaardigheid]],Lijsten!C:C,Lijsten!A:A)</f>
        <v>Realiseren</v>
      </c>
    </row>
    <row r="88" spans="2:9" ht="29.25">
      <c r="B88" s="2" t="s">
        <v>5</v>
      </c>
      <c r="C88" s="2" t="s">
        <v>64</v>
      </c>
      <c r="D88" s="6" t="s">
        <v>147</v>
      </c>
      <c r="E88" s="6" t="s">
        <v>148</v>
      </c>
      <c r="F88" s="45">
        <v>45982</v>
      </c>
      <c r="G88" s="8">
        <v>4</v>
      </c>
      <c r="H88" s="2" t="s">
        <v>120</v>
      </c>
      <c r="I88" s="9" t="str">
        <f>_xlfn.XLOOKUP(Timeform[[#This Row],[Vaardigheid]],Lijsten!C:C,Lijsten!A:A)</f>
        <v>Ontwerpen</v>
      </c>
    </row>
    <row r="89" spans="2:9" ht="15">
      <c r="B89" s="2" t="s">
        <v>2</v>
      </c>
      <c r="C89" s="2" t="s">
        <v>50</v>
      </c>
      <c r="D89" s="6" t="s">
        <v>60</v>
      </c>
      <c r="E89" s="6" t="s">
        <v>149</v>
      </c>
      <c r="F89" s="7">
        <v>45982</v>
      </c>
      <c r="G89" s="8">
        <v>0.5</v>
      </c>
      <c r="H89" s="2" t="s">
        <v>120</v>
      </c>
      <c r="I89" s="9" t="str">
        <f>_xlfn.XLOOKUP(Timeform[[#This Row],[Vaardigheid]],Lijsten!C:C,Lijsten!A:A)</f>
        <v>Realiseren</v>
      </c>
    </row>
    <row r="90" spans="2:9" ht="29.25">
      <c r="B90" s="2" t="s">
        <v>3</v>
      </c>
      <c r="C90" s="2" t="s">
        <v>50</v>
      </c>
      <c r="D90" s="6" t="s">
        <v>150</v>
      </c>
      <c r="E90" s="6" t="s">
        <v>151</v>
      </c>
      <c r="F90" s="7">
        <v>45982</v>
      </c>
      <c r="G90" s="8">
        <v>0.5</v>
      </c>
      <c r="H90" s="2" t="s">
        <v>120</v>
      </c>
      <c r="I90" s="9" t="str">
        <f>_xlfn.XLOOKUP(Timeform[[#This Row],[Vaardigheid]],Lijsten!C:C,Lijsten!A:A)</f>
        <v>Realiseren</v>
      </c>
    </row>
    <row r="91" spans="2:9" ht="15">
      <c r="B91" s="2" t="s">
        <v>7</v>
      </c>
      <c r="C91" s="2" t="s">
        <v>50</v>
      </c>
      <c r="D91" s="6" t="s">
        <v>152</v>
      </c>
      <c r="E91" s="6" t="s">
        <v>153</v>
      </c>
      <c r="F91" s="7">
        <v>45982</v>
      </c>
      <c r="G91" s="8">
        <v>1</v>
      </c>
      <c r="H91" s="2" t="s">
        <v>120</v>
      </c>
      <c r="I91" s="9" t="str">
        <f>_xlfn.XLOOKUP(Timeform[[#This Row],[Vaardigheid]],Lijsten!C:C,Lijsten!A:A)</f>
        <v>Analyseren</v>
      </c>
    </row>
    <row r="92" spans="2:9" ht="43.5">
      <c r="B92" s="2" t="s">
        <v>2</v>
      </c>
      <c r="C92" s="2" t="s">
        <v>55</v>
      </c>
      <c r="D92" s="6" t="s">
        <v>100</v>
      </c>
      <c r="E92" s="6" t="s">
        <v>154</v>
      </c>
      <c r="F92" s="7">
        <v>45982</v>
      </c>
      <c r="G92" s="8">
        <v>1</v>
      </c>
      <c r="H92" s="2" t="s">
        <v>120</v>
      </c>
      <c r="I92" s="9" t="str">
        <f>_xlfn.XLOOKUP(Timeform[[#This Row],[Vaardigheid]],Lijsten!C:C,Lijsten!A:A)</f>
        <v>Realiseren</v>
      </c>
    </row>
    <row r="93" spans="2:9" ht="15">
      <c r="B93" s="2" t="s">
        <v>2</v>
      </c>
      <c r="C93" s="2" t="s">
        <v>127</v>
      </c>
      <c r="D93" s="6" t="s">
        <v>155</v>
      </c>
      <c r="E93" s="6" t="s">
        <v>156</v>
      </c>
      <c r="F93" s="7">
        <v>45982</v>
      </c>
      <c r="G93" s="8">
        <v>0.25</v>
      </c>
      <c r="H93" s="2" t="s">
        <v>120</v>
      </c>
      <c r="I93" s="9" t="str">
        <f>_xlfn.XLOOKUP(Timeform[[#This Row],[Vaardigheid]],Lijsten!C:C,Lijsten!A:A)</f>
        <v>Realiseren</v>
      </c>
    </row>
    <row r="94" spans="2:9" ht="15">
      <c r="B94" s="2" t="s">
        <v>7</v>
      </c>
      <c r="C94" s="2" t="s">
        <v>50</v>
      </c>
      <c r="D94" s="6" t="s">
        <v>125</v>
      </c>
      <c r="E94" s="6" t="s">
        <v>96</v>
      </c>
      <c r="F94" s="7">
        <v>45982</v>
      </c>
      <c r="G94" s="8">
        <v>4</v>
      </c>
      <c r="H94" s="2" t="s">
        <v>120</v>
      </c>
      <c r="I94" s="9" t="str">
        <f>_xlfn.XLOOKUP(Timeform[[#This Row],[Vaardigheid]],Lijsten!C:C,Lijsten!A:A)</f>
        <v>Analyseren</v>
      </c>
    </row>
    <row r="95" spans="2:9" ht="15">
      <c r="B95" s="2" t="s">
        <v>7</v>
      </c>
      <c r="C95" s="2" t="s">
        <v>50</v>
      </c>
      <c r="D95" s="6" t="s">
        <v>150</v>
      </c>
      <c r="E95" s="6" t="s">
        <v>157</v>
      </c>
      <c r="F95" s="7">
        <v>45982</v>
      </c>
      <c r="G95" s="8">
        <v>1.5</v>
      </c>
      <c r="H95" s="2" t="s">
        <v>120</v>
      </c>
      <c r="I95" s="9" t="str">
        <f>_xlfn.XLOOKUP(Timeform[[#This Row],[Vaardigheid]],Lijsten!C:C,Lijsten!A:A)</f>
        <v>Realiseren</v>
      </c>
    </row>
    <row r="96" spans="2:9" ht="15">
      <c r="B96" s="2" t="s">
        <v>2</v>
      </c>
      <c r="C96" s="2" t="s">
        <v>55</v>
      </c>
      <c r="D96" s="6" t="s">
        <v>158</v>
      </c>
      <c r="E96" s="6" t="s">
        <v>159</v>
      </c>
      <c r="F96" s="7">
        <v>45982</v>
      </c>
      <c r="G96" s="8">
        <v>0.3</v>
      </c>
      <c r="H96" s="2" t="s">
        <v>120</v>
      </c>
      <c r="I96" s="9" t="str">
        <f>_xlfn.XLOOKUP(Timeform[[#This Row],[Vaardigheid]],Lijsten!C:C,Lijsten!A:A)</f>
        <v>Realiseren</v>
      </c>
    </row>
    <row r="97" spans="2:9" ht="15">
      <c r="B97" s="2" t="s">
        <v>2</v>
      </c>
      <c r="C97" s="2" t="s">
        <v>55</v>
      </c>
      <c r="D97" s="6" t="s">
        <v>158</v>
      </c>
      <c r="E97" s="6" t="s">
        <v>160</v>
      </c>
      <c r="F97" s="7">
        <v>45982</v>
      </c>
      <c r="G97" s="8">
        <v>0.3</v>
      </c>
      <c r="H97" s="2" t="s">
        <v>120</v>
      </c>
      <c r="I97" s="9" t="str">
        <f>_xlfn.XLOOKUP(Timeform[[#This Row],[Vaardigheid]],Lijsten!C:C,Lijsten!A:A)</f>
        <v>Realiseren</v>
      </c>
    </row>
    <row r="98" spans="2:9" ht="29.25">
      <c r="B98" s="2" t="s">
        <v>2</v>
      </c>
      <c r="C98" s="2" t="s">
        <v>77</v>
      </c>
      <c r="D98" s="6" t="s">
        <v>107</v>
      </c>
      <c r="E98" s="6" t="s">
        <v>108</v>
      </c>
      <c r="F98" s="7">
        <v>45982</v>
      </c>
      <c r="G98" s="8">
        <v>0.3</v>
      </c>
      <c r="H98" s="2" t="s">
        <v>120</v>
      </c>
      <c r="I98" s="9" t="str">
        <f>_xlfn.XLOOKUP(Timeform[[#This Row],[Vaardigheid]],Lijsten!C:C,Lijsten!A:A)</f>
        <v>Realiseren</v>
      </c>
    </row>
    <row r="99" spans="2:9" ht="29.25">
      <c r="B99" s="2" t="s">
        <v>2</v>
      </c>
      <c r="C99" s="2" t="s">
        <v>77</v>
      </c>
      <c r="D99" s="6" t="s">
        <v>107</v>
      </c>
      <c r="E99" s="6" t="s">
        <v>108</v>
      </c>
      <c r="F99" s="7">
        <v>45982</v>
      </c>
      <c r="G99" s="8">
        <v>0.3</v>
      </c>
      <c r="H99" s="2" t="s">
        <v>120</v>
      </c>
      <c r="I99" s="9" t="str">
        <f>_xlfn.XLOOKUP(Timeform[[#This Row],[Vaardigheid]],Lijsten!C:C,Lijsten!A:A)</f>
        <v>Realiseren</v>
      </c>
    </row>
    <row r="100" spans="2:9" ht="15">
      <c r="B100" s="2" t="s">
        <v>2</v>
      </c>
      <c r="C100" s="2" t="s">
        <v>77</v>
      </c>
      <c r="D100" s="6" t="s">
        <v>107</v>
      </c>
      <c r="E100" s="6" t="s">
        <v>161</v>
      </c>
      <c r="F100" s="7">
        <v>45982</v>
      </c>
      <c r="G100" s="8">
        <v>0.5</v>
      </c>
      <c r="H100" s="2" t="s">
        <v>120</v>
      </c>
      <c r="I100" s="9" t="str">
        <f>_xlfn.XLOOKUP(Timeform[[#This Row],[Vaardigheid]],Lijsten!C:C,Lijsten!A:A)</f>
        <v>Realiseren</v>
      </c>
    </row>
    <row r="101" spans="2:9" ht="29.25">
      <c r="B101" s="2" t="s">
        <v>2</v>
      </c>
      <c r="C101" s="2" t="s">
        <v>55</v>
      </c>
      <c r="D101" s="17" t="s">
        <v>109</v>
      </c>
      <c r="E101" s="6" t="s">
        <v>162</v>
      </c>
      <c r="F101" s="7">
        <v>45982</v>
      </c>
      <c r="G101" s="8">
        <v>1.5</v>
      </c>
      <c r="H101" s="2" t="s">
        <v>120</v>
      </c>
      <c r="I101" s="9" t="str">
        <f>_xlfn.XLOOKUP(Timeform[[#This Row],[Vaardigheid]],Lijsten!C:C,Lijsten!A:A)</f>
        <v>Manage &amp; Control</v>
      </c>
    </row>
    <row r="102" spans="2:9" ht="15">
      <c r="B102" s="2" t="s">
        <v>2</v>
      </c>
      <c r="C102" s="2" t="s">
        <v>37</v>
      </c>
      <c r="D102" s="6" t="s">
        <v>38</v>
      </c>
      <c r="E102" s="6" t="s">
        <v>163</v>
      </c>
      <c r="F102" s="7">
        <v>45982</v>
      </c>
      <c r="G102" s="8">
        <v>1</v>
      </c>
      <c r="H102" s="2" t="s">
        <v>120</v>
      </c>
      <c r="I102" s="9" t="str">
        <f>_xlfn.XLOOKUP(Timeform[[#This Row],[Vaardigheid]],Lijsten!C:C,Lijsten!A:A)</f>
        <v>Analyseren</v>
      </c>
    </row>
    <row r="103" spans="2:9" ht="15">
      <c r="B103" s="2" t="s">
        <v>3</v>
      </c>
      <c r="C103" s="2" t="s">
        <v>37</v>
      </c>
      <c r="D103" s="6" t="s">
        <v>38</v>
      </c>
      <c r="E103" s="6" t="s">
        <v>163</v>
      </c>
      <c r="F103" s="7">
        <v>45982</v>
      </c>
      <c r="G103" s="8">
        <v>1</v>
      </c>
      <c r="H103" s="2" t="s">
        <v>120</v>
      </c>
      <c r="I103" s="9" t="str">
        <f>_xlfn.XLOOKUP(Timeform[[#This Row],[Vaardigheid]],Lijsten!C:C,Lijsten!A:A)</f>
        <v>Analyseren</v>
      </c>
    </row>
    <row r="104" spans="2:9" ht="15">
      <c r="B104" s="2" t="s">
        <v>2</v>
      </c>
      <c r="C104" s="2" t="s">
        <v>50</v>
      </c>
      <c r="D104" s="6" t="s">
        <v>125</v>
      </c>
      <c r="E104" s="6" t="s">
        <v>99</v>
      </c>
      <c r="F104" s="7">
        <v>45982</v>
      </c>
      <c r="G104" s="8">
        <v>1</v>
      </c>
      <c r="H104" s="2" t="s">
        <v>120</v>
      </c>
      <c r="I104" s="9" t="str">
        <f>_xlfn.XLOOKUP(Timeform[[#This Row],[Vaardigheid]],Lijsten!C:C,Lijsten!A:A)</f>
        <v>Analyseren</v>
      </c>
    </row>
    <row r="105" spans="2:9" ht="15">
      <c r="B105" s="2" t="s">
        <v>2</v>
      </c>
      <c r="C105" s="2" t="s">
        <v>64</v>
      </c>
      <c r="D105" s="6" t="s">
        <v>147</v>
      </c>
      <c r="E105" s="6" t="s">
        <v>164</v>
      </c>
      <c r="F105" s="7">
        <v>45982</v>
      </c>
      <c r="G105" s="8">
        <v>0.5</v>
      </c>
      <c r="H105" s="2" t="s">
        <v>120</v>
      </c>
      <c r="I105" s="9" t="str">
        <f>_xlfn.XLOOKUP(Timeform[[#This Row],[Vaardigheid]],Lijsten!C:C,Lijsten!A:A)</f>
        <v>Ontwerpen</v>
      </c>
    </row>
    <row r="106" spans="2:9" ht="15">
      <c r="B106" s="2" t="s">
        <v>3</v>
      </c>
      <c r="C106" s="2" t="s">
        <v>50</v>
      </c>
      <c r="D106" s="6" t="s">
        <v>115</v>
      </c>
      <c r="E106" s="6" t="s">
        <v>165</v>
      </c>
      <c r="F106" s="7">
        <v>45983</v>
      </c>
      <c r="G106" s="8">
        <v>0.75</v>
      </c>
      <c r="H106" s="2" t="s">
        <v>120</v>
      </c>
      <c r="I106" s="9" t="str">
        <f>_xlfn.XLOOKUP(Timeform[[#This Row],[Vaardigheid]],Lijsten!C:C,Lijsten!A:A)</f>
        <v>Adviseren</v>
      </c>
    </row>
    <row r="107" spans="2:9" ht="15">
      <c r="B107" s="2" t="s">
        <v>2</v>
      </c>
      <c r="C107" s="2" t="s">
        <v>50</v>
      </c>
      <c r="D107" s="6" t="s">
        <v>115</v>
      </c>
      <c r="E107" s="6" t="s">
        <v>117</v>
      </c>
      <c r="F107" s="7">
        <v>45984</v>
      </c>
      <c r="G107" s="8">
        <v>0.5</v>
      </c>
      <c r="H107" s="2" t="s">
        <v>120</v>
      </c>
      <c r="I107" s="9" t="str">
        <f>_xlfn.XLOOKUP(Timeform[[#This Row],[Vaardigheid]],Lijsten!C:C,Lijsten!A:A)</f>
        <v>Adviseren</v>
      </c>
    </row>
    <row r="108" spans="2:9" ht="15">
      <c r="B108" s="2" t="s">
        <v>3</v>
      </c>
      <c r="C108" s="2" t="s">
        <v>50</v>
      </c>
      <c r="D108" s="6" t="s">
        <v>115</v>
      </c>
      <c r="E108" s="6" t="s">
        <v>121</v>
      </c>
      <c r="F108" s="7">
        <v>45985</v>
      </c>
      <c r="G108" s="8">
        <v>1</v>
      </c>
      <c r="H108" s="2" t="s">
        <v>120</v>
      </c>
      <c r="I108" s="9" t="str">
        <f>_xlfn.XLOOKUP(Timeform[[#This Row],[Vaardigheid]],Lijsten!C:C,Lijsten!A:A)</f>
        <v>Adviseren</v>
      </c>
    </row>
    <row r="109" spans="2:9" ht="43.5">
      <c r="B109" s="2" t="s">
        <v>3</v>
      </c>
      <c r="C109" s="2" t="s">
        <v>127</v>
      </c>
      <c r="D109" s="6" t="s">
        <v>141</v>
      </c>
      <c r="E109" s="6" t="s">
        <v>166</v>
      </c>
      <c r="F109" s="7">
        <v>45985</v>
      </c>
      <c r="G109" s="8">
        <v>3</v>
      </c>
      <c r="H109" s="2" t="s">
        <v>167</v>
      </c>
      <c r="I109" s="9" t="str">
        <f>_xlfn.XLOOKUP(Timeform[[#This Row],[Vaardigheid]],Lijsten!C:C,Lijsten!A:A)</f>
        <v>Realiseren</v>
      </c>
    </row>
    <row r="110" spans="2:9" ht="29.25">
      <c r="B110" s="2" t="s">
        <v>5</v>
      </c>
      <c r="C110" s="2" t="s">
        <v>168</v>
      </c>
      <c r="D110" s="6" t="s">
        <v>168</v>
      </c>
      <c r="E110" s="6" t="s">
        <v>169</v>
      </c>
      <c r="F110" s="7">
        <v>45985</v>
      </c>
      <c r="G110" s="8">
        <v>0</v>
      </c>
      <c r="H110" s="2" t="s">
        <v>170</v>
      </c>
      <c r="I110" s="9" t="e">
        <f>_xlfn.XLOOKUP(Timeform[[#This Row],[Vaardigheid]],Lijsten!C:C,Lijsten!A:A)</f>
        <v>#N/A</v>
      </c>
    </row>
    <row r="111" spans="2:9" ht="15">
      <c r="B111" s="2" t="s">
        <v>2</v>
      </c>
      <c r="C111" s="2" t="s">
        <v>50</v>
      </c>
      <c r="D111" s="6" t="s">
        <v>171</v>
      </c>
      <c r="E111" s="6" t="s">
        <v>172</v>
      </c>
      <c r="F111" s="7">
        <v>45985</v>
      </c>
      <c r="G111" s="8">
        <v>0.5</v>
      </c>
      <c r="H111" s="2" t="s">
        <v>167</v>
      </c>
      <c r="I111" s="9" t="str">
        <f>_xlfn.XLOOKUP(Timeform[[#This Row],[Vaardigheid]],Lijsten!C:C,Lijsten!A:A)</f>
        <v>Manage &amp; Control</v>
      </c>
    </row>
    <row r="112" spans="2:9" ht="15">
      <c r="B112" s="2" t="s">
        <v>2</v>
      </c>
      <c r="C112" s="2" t="s">
        <v>50</v>
      </c>
      <c r="D112" s="6" t="s">
        <v>115</v>
      </c>
      <c r="E112" s="6" t="s">
        <v>121</v>
      </c>
      <c r="F112" s="7">
        <v>45985</v>
      </c>
      <c r="G112" s="8">
        <v>1</v>
      </c>
      <c r="H112" s="2" t="s">
        <v>120</v>
      </c>
      <c r="I112" s="9" t="str">
        <f>_xlfn.XLOOKUP(Timeform[[#This Row],[Vaardigheid]],Lijsten!C:C,Lijsten!A:A)</f>
        <v>Adviseren</v>
      </c>
    </row>
    <row r="113" spans="2:9" ht="15">
      <c r="B113" s="2" t="s">
        <v>3</v>
      </c>
      <c r="C113" s="39" t="s">
        <v>50</v>
      </c>
      <c r="D113" s="6" t="s">
        <v>171</v>
      </c>
      <c r="E113" s="6" t="s">
        <v>171</v>
      </c>
      <c r="F113" s="7">
        <v>45985</v>
      </c>
      <c r="G113" s="8">
        <v>0.5</v>
      </c>
      <c r="H113" s="2" t="s">
        <v>167</v>
      </c>
      <c r="I113" s="9" t="str">
        <f>_xlfn.XLOOKUP(Timeform[[#This Row],[Vaardigheid]],Lijsten!C:C,Lijsten!A:A)</f>
        <v>Manage &amp; Control</v>
      </c>
    </row>
    <row r="114" spans="2:9" ht="15">
      <c r="B114" s="2" t="s">
        <v>2</v>
      </c>
      <c r="C114" s="2" t="s">
        <v>50</v>
      </c>
      <c r="D114" s="6" t="s">
        <v>87</v>
      </c>
      <c r="E114" s="6" t="s">
        <v>123</v>
      </c>
      <c r="F114" s="7">
        <v>45985</v>
      </c>
      <c r="G114" s="8">
        <v>0.25</v>
      </c>
      <c r="H114" s="2" t="s">
        <v>167</v>
      </c>
      <c r="I114" s="9" t="str">
        <f>_xlfn.XLOOKUP(Timeform[[#This Row],[Vaardigheid]],Lijsten!C:C,Lijsten!A:A)</f>
        <v>Adviseren</v>
      </c>
    </row>
    <row r="115" spans="2:9" ht="15">
      <c r="B115" s="50" t="s">
        <v>3</v>
      </c>
      <c r="C115" s="52" t="s">
        <v>50</v>
      </c>
      <c r="D115" s="54" t="s">
        <v>87</v>
      </c>
      <c r="E115" s="54" t="s">
        <v>123</v>
      </c>
      <c r="F115" s="7">
        <v>45985</v>
      </c>
      <c r="G115" s="57">
        <v>0.25</v>
      </c>
      <c r="H115" s="2" t="s">
        <v>167</v>
      </c>
      <c r="I115" s="9" t="str">
        <f>_xlfn.XLOOKUP(Timeform[[#This Row],[Vaardigheid]],Lijsten!C:C,Lijsten!A:A)</f>
        <v>Adviseren</v>
      </c>
    </row>
    <row r="116" spans="2:9" ht="15">
      <c r="B116" s="50" t="s">
        <v>2</v>
      </c>
      <c r="C116" s="52" t="s">
        <v>50</v>
      </c>
      <c r="D116" s="54" t="s">
        <v>89</v>
      </c>
      <c r="E116" s="54" t="s">
        <v>123</v>
      </c>
      <c r="F116" s="7">
        <v>45985</v>
      </c>
      <c r="G116" s="8">
        <v>0.25</v>
      </c>
      <c r="H116" s="52" t="s">
        <v>167</v>
      </c>
      <c r="I116" s="9" t="str">
        <f>_xlfn.XLOOKUP(Timeform[[#This Row],[Vaardigheid]],Lijsten!C:C,Lijsten!A:A)</f>
        <v>Adviseren</v>
      </c>
    </row>
    <row r="117" spans="2:9" ht="15">
      <c r="B117" s="2" t="s">
        <v>3</v>
      </c>
      <c r="C117" s="2" t="s">
        <v>50</v>
      </c>
      <c r="D117" s="6" t="s">
        <v>89</v>
      </c>
      <c r="E117" s="6" t="s">
        <v>123</v>
      </c>
      <c r="F117" s="7">
        <v>45985</v>
      </c>
      <c r="G117" s="8">
        <v>0.25</v>
      </c>
      <c r="H117" s="2" t="s">
        <v>167</v>
      </c>
      <c r="I117" s="9" t="str">
        <f>_xlfn.XLOOKUP(Timeform[[#This Row],[Vaardigheid]],Lijsten!C:C,Lijsten!A:A)</f>
        <v>Adviseren</v>
      </c>
    </row>
    <row r="118" spans="2:9" ht="15">
      <c r="B118" s="2" t="s">
        <v>2</v>
      </c>
      <c r="C118" s="2" t="s">
        <v>55</v>
      </c>
      <c r="D118" s="6" t="s">
        <v>83</v>
      </c>
      <c r="E118" s="6" t="s">
        <v>84</v>
      </c>
      <c r="F118" s="7">
        <v>45985</v>
      </c>
      <c r="G118" s="8">
        <v>0.35</v>
      </c>
      <c r="H118" s="2" t="s">
        <v>167</v>
      </c>
      <c r="I118" s="9" t="str">
        <f>_xlfn.XLOOKUP(Timeform[[#This Row],[Vaardigheid]],Lijsten!C:C,Lijsten!A:A)</f>
        <v>Realiseren</v>
      </c>
    </row>
    <row r="119" spans="2:9" ht="15">
      <c r="B119" s="2" t="s">
        <v>5</v>
      </c>
      <c r="C119" s="2" t="s">
        <v>50</v>
      </c>
      <c r="D119" s="6" t="s">
        <v>115</v>
      </c>
      <c r="E119" s="6" t="s">
        <v>121</v>
      </c>
      <c r="F119" s="86">
        <v>45985</v>
      </c>
      <c r="G119" s="8">
        <v>1</v>
      </c>
      <c r="H119" s="2" t="s">
        <v>120</v>
      </c>
      <c r="I119" s="9" t="str">
        <f>_xlfn.XLOOKUP(Timeform[[#This Row],[Vaardigheid]],Lijsten!C:C,Lijsten!A:A)</f>
        <v>Adviseren</v>
      </c>
    </row>
    <row r="120" spans="2:9" ht="15">
      <c r="B120" s="25" t="s">
        <v>5</v>
      </c>
      <c r="C120" s="25" t="s">
        <v>50</v>
      </c>
      <c r="D120" s="80" t="s">
        <v>87</v>
      </c>
      <c r="E120" s="80" t="s">
        <v>123</v>
      </c>
      <c r="F120" s="7">
        <v>45985</v>
      </c>
      <c r="G120" s="8">
        <v>0.25</v>
      </c>
      <c r="H120" s="25" t="s">
        <v>167</v>
      </c>
      <c r="I120" s="9" t="str">
        <f>_xlfn.XLOOKUP(Timeform[[#This Row],[Vaardigheid]],Lijsten!C:C,Lijsten!A:A)</f>
        <v>Adviseren</v>
      </c>
    </row>
    <row r="121" spans="2:9" ht="15">
      <c r="B121" s="2" t="s">
        <v>5</v>
      </c>
      <c r="C121" s="2" t="s">
        <v>50</v>
      </c>
      <c r="D121" s="6" t="s">
        <v>89</v>
      </c>
      <c r="E121" s="6" t="s">
        <v>123</v>
      </c>
      <c r="F121" s="7">
        <v>45985</v>
      </c>
      <c r="G121" s="8">
        <v>0.25</v>
      </c>
      <c r="H121" s="2" t="s">
        <v>167</v>
      </c>
      <c r="I121" s="9" t="str">
        <f>_xlfn.XLOOKUP(Timeform[[#This Row],[Vaardigheid]],Lijsten!C:C,Lijsten!A:A)</f>
        <v>Adviseren</v>
      </c>
    </row>
    <row r="122" spans="2:9" ht="15">
      <c r="B122" s="2" t="s">
        <v>5</v>
      </c>
      <c r="C122" s="91" t="s">
        <v>50</v>
      </c>
      <c r="D122" s="6" t="s">
        <v>171</v>
      </c>
      <c r="E122" s="6" t="s">
        <v>171</v>
      </c>
      <c r="F122" s="7">
        <v>45985</v>
      </c>
      <c r="G122" s="8">
        <v>0.5</v>
      </c>
      <c r="H122" s="2" t="s">
        <v>167</v>
      </c>
      <c r="I122" s="9" t="str">
        <f>_xlfn.XLOOKUP(Timeform[[#This Row],[Vaardigheid]],Lijsten!C:C,Lijsten!A:A)</f>
        <v>Manage &amp; Control</v>
      </c>
    </row>
    <row r="123" spans="2:9" ht="15">
      <c r="B123" s="2" t="s">
        <v>7</v>
      </c>
      <c r="C123" s="2" t="s">
        <v>50</v>
      </c>
      <c r="D123" s="6" t="s">
        <v>171</v>
      </c>
      <c r="E123" s="6" t="s">
        <v>173</v>
      </c>
      <c r="F123" s="7">
        <v>45985</v>
      </c>
      <c r="G123" s="8">
        <v>0.5</v>
      </c>
      <c r="H123" s="2" t="s">
        <v>167</v>
      </c>
      <c r="I123" s="9" t="str">
        <f>_xlfn.XLOOKUP(Timeform[[#This Row],[Vaardigheid]],Lijsten!C:C,Lijsten!A:A)</f>
        <v>Manage &amp; Control</v>
      </c>
    </row>
    <row r="124" spans="2:9" ht="15">
      <c r="B124" s="2" t="s">
        <v>7</v>
      </c>
      <c r="C124" s="2" t="s">
        <v>174</v>
      </c>
      <c r="D124" s="6" t="s">
        <v>87</v>
      </c>
      <c r="E124" s="6" t="s">
        <v>175</v>
      </c>
      <c r="F124" s="7">
        <v>45985</v>
      </c>
      <c r="G124" s="8">
        <v>1</v>
      </c>
      <c r="H124" s="2" t="s">
        <v>120</v>
      </c>
      <c r="I124" s="9" t="str">
        <f>_xlfn.XLOOKUP(Timeform[[#This Row],[Vaardigheid]],Lijsten!C:C,Lijsten!A:A)</f>
        <v>Adviseren</v>
      </c>
    </row>
    <row r="125" spans="2:9" ht="15">
      <c r="B125" s="2" t="s">
        <v>7</v>
      </c>
      <c r="C125" s="2" t="s">
        <v>174</v>
      </c>
      <c r="D125" s="6" t="s">
        <v>95</v>
      </c>
      <c r="E125" s="6" t="s">
        <v>176</v>
      </c>
      <c r="F125" s="7">
        <v>45985</v>
      </c>
      <c r="G125" s="8">
        <v>1.25</v>
      </c>
      <c r="H125" s="2" t="s">
        <v>120</v>
      </c>
      <c r="I125" s="9" t="str">
        <f>_xlfn.XLOOKUP(Timeform[[#This Row],[Vaardigheid]],Lijsten!C:C,Lijsten!A:A)</f>
        <v>Adviseren</v>
      </c>
    </row>
    <row r="126" spans="2:9" ht="15">
      <c r="B126" t="s">
        <v>7</v>
      </c>
      <c r="C126" s="51" t="s">
        <v>50</v>
      </c>
      <c r="D126" s="55" t="s">
        <v>115</v>
      </c>
      <c r="E126" s="55" t="s">
        <v>177</v>
      </c>
      <c r="F126" s="118">
        <v>45985</v>
      </c>
      <c r="G126" s="56">
        <v>0.5</v>
      </c>
      <c r="H126" s="51" t="s">
        <v>120</v>
      </c>
      <c r="I126" s="9" t="str">
        <f>_xlfn.XLOOKUP(Timeform[[#This Row],[Vaardigheid]],Lijsten!C:C,Lijsten!A:A)</f>
        <v>Adviseren</v>
      </c>
    </row>
    <row r="127" spans="2:9" ht="15">
      <c r="B127" s="2" t="s">
        <v>2</v>
      </c>
      <c r="C127" s="2" t="s">
        <v>50</v>
      </c>
      <c r="D127" s="6" t="s">
        <v>138</v>
      </c>
      <c r="E127" s="6" t="s">
        <v>178</v>
      </c>
      <c r="F127" s="7">
        <v>45986</v>
      </c>
      <c r="G127" s="8">
        <v>0.5</v>
      </c>
      <c r="H127" s="2" t="s">
        <v>167</v>
      </c>
      <c r="I127" s="9" t="str">
        <f>_xlfn.XLOOKUP(Timeform[[#This Row],[Vaardigheid]],Lijsten!C:C,Lijsten!A:A)</f>
        <v>Adviseren</v>
      </c>
    </row>
    <row r="128" spans="2:9" ht="15">
      <c r="B128" s="2" t="s">
        <v>2</v>
      </c>
      <c r="C128" s="2" t="s">
        <v>127</v>
      </c>
      <c r="D128" s="6" t="s">
        <v>128</v>
      </c>
      <c r="E128" s="6" t="s">
        <v>179</v>
      </c>
      <c r="F128" s="7">
        <v>45986</v>
      </c>
      <c r="G128" s="8">
        <v>4</v>
      </c>
      <c r="H128" s="2" t="s">
        <v>167</v>
      </c>
      <c r="I128" s="9" t="str">
        <f>_xlfn.XLOOKUP(Timeform[[#This Row],[Vaardigheid]],Lijsten!C:C,Lijsten!A:A)</f>
        <v>Realiseren</v>
      </c>
    </row>
    <row r="129" spans="2:9" ht="43.5">
      <c r="B129" s="2" t="s">
        <v>3</v>
      </c>
      <c r="C129" s="2" t="s">
        <v>127</v>
      </c>
      <c r="D129" s="6" t="s">
        <v>141</v>
      </c>
      <c r="E129" s="6" t="s">
        <v>180</v>
      </c>
      <c r="F129" s="7">
        <v>45986</v>
      </c>
      <c r="G129" s="8">
        <v>5</v>
      </c>
      <c r="H129" s="2" t="s">
        <v>167</v>
      </c>
      <c r="I129" s="9" t="str">
        <f>_xlfn.XLOOKUP(Timeform[[#This Row],[Vaardigheid]],Lijsten!C:C,Lijsten!A:A)</f>
        <v>Realiseren</v>
      </c>
    </row>
    <row r="130" spans="2:9" ht="15">
      <c r="B130" s="2" t="s">
        <v>3</v>
      </c>
      <c r="C130" s="2" t="s">
        <v>64</v>
      </c>
      <c r="D130" s="6" t="s">
        <v>181</v>
      </c>
      <c r="E130" s="6" t="s">
        <v>182</v>
      </c>
      <c r="F130" s="7">
        <v>45986</v>
      </c>
      <c r="G130" s="8">
        <v>1</v>
      </c>
      <c r="H130" s="2" t="s">
        <v>167</v>
      </c>
      <c r="I130" s="9" t="str">
        <f>_xlfn.XLOOKUP(Timeform[[#This Row],[Vaardigheid]],Lijsten!C:C,Lijsten!A:A)</f>
        <v>Ontwerpen</v>
      </c>
    </row>
    <row r="131" spans="2:9" ht="15">
      <c r="B131" s="2" t="s">
        <v>7</v>
      </c>
      <c r="C131" s="2" t="s">
        <v>127</v>
      </c>
      <c r="D131" s="6" t="s">
        <v>128</v>
      </c>
      <c r="E131" s="6" t="s">
        <v>183</v>
      </c>
      <c r="F131" s="7">
        <v>45986</v>
      </c>
      <c r="G131" s="8">
        <v>4</v>
      </c>
      <c r="H131" s="2" t="s">
        <v>167</v>
      </c>
      <c r="I131" s="9" t="str">
        <f>_xlfn.XLOOKUP(Timeform[[#This Row],[Vaardigheid]],Lijsten!C:C,Lijsten!A:A)</f>
        <v>Realiseren</v>
      </c>
    </row>
    <row r="132" spans="2:9" ht="15">
      <c r="B132" s="2" t="s">
        <v>2</v>
      </c>
      <c r="C132" s="2" t="s">
        <v>50</v>
      </c>
      <c r="D132" s="6" t="s">
        <v>171</v>
      </c>
      <c r="E132" s="6" t="s">
        <v>172</v>
      </c>
      <c r="F132" s="7">
        <v>45986</v>
      </c>
      <c r="G132" s="8">
        <v>0.5</v>
      </c>
      <c r="H132" s="2" t="s">
        <v>167</v>
      </c>
      <c r="I132" s="9" t="str">
        <f>_xlfn.XLOOKUP(Timeform[[#This Row],[Vaardigheid]],Lijsten!C:C,Lijsten!A:A)</f>
        <v>Manage &amp; Control</v>
      </c>
    </row>
    <row r="133" spans="2:9" ht="29.25">
      <c r="B133" s="2" t="s">
        <v>3</v>
      </c>
      <c r="C133" s="2" t="s">
        <v>50</v>
      </c>
      <c r="D133" s="6" t="s">
        <v>95</v>
      </c>
      <c r="E133" s="6" t="s">
        <v>184</v>
      </c>
      <c r="F133" s="47">
        <v>45986</v>
      </c>
      <c r="G133" s="8">
        <v>1.5</v>
      </c>
      <c r="H133" s="2" t="s">
        <v>120</v>
      </c>
      <c r="I133" s="9" t="str">
        <f>_xlfn.XLOOKUP(Timeform[[#This Row],[Vaardigheid]],Lijsten!C:C,Lijsten!A:A)</f>
        <v>Adviseren</v>
      </c>
    </row>
    <row r="134" spans="2:9" ht="15">
      <c r="B134" s="2" t="s">
        <v>3</v>
      </c>
      <c r="C134" s="2" t="s">
        <v>50</v>
      </c>
      <c r="D134" s="6" t="s">
        <v>171</v>
      </c>
      <c r="E134" s="6" t="s">
        <v>171</v>
      </c>
      <c r="F134" s="7">
        <v>45986</v>
      </c>
      <c r="G134" s="8">
        <v>0.5</v>
      </c>
      <c r="H134" s="2" t="s">
        <v>167</v>
      </c>
      <c r="I134" s="9" t="str">
        <f>_xlfn.XLOOKUP(Timeform[[#This Row],[Vaardigheid]],Lijsten!C:C,Lijsten!A:A)</f>
        <v>Manage &amp; Control</v>
      </c>
    </row>
    <row r="135" spans="2:9" ht="15">
      <c r="B135" s="2" t="s">
        <v>5</v>
      </c>
      <c r="C135" s="2" t="s">
        <v>50</v>
      </c>
      <c r="D135" s="6" t="s">
        <v>171</v>
      </c>
      <c r="E135" s="6" t="s">
        <v>171</v>
      </c>
      <c r="F135" s="7">
        <v>45986</v>
      </c>
      <c r="G135" s="8">
        <v>0.5</v>
      </c>
      <c r="H135" s="2" t="s">
        <v>167</v>
      </c>
      <c r="I135" s="9" t="str">
        <f>_xlfn.XLOOKUP(Timeform[[#This Row],[Vaardigheid]],Lijsten!C:C,Lijsten!A:A)</f>
        <v>Manage &amp; Control</v>
      </c>
    </row>
    <row r="136" spans="2:9" ht="15">
      <c r="B136" s="2" t="s">
        <v>7</v>
      </c>
      <c r="C136" s="2" t="s">
        <v>50</v>
      </c>
      <c r="D136" s="6" t="s">
        <v>171</v>
      </c>
      <c r="E136" s="6" t="s">
        <v>173</v>
      </c>
      <c r="F136" s="7">
        <v>45986</v>
      </c>
      <c r="G136" s="8">
        <v>0.5</v>
      </c>
      <c r="H136" s="2" t="s">
        <v>167</v>
      </c>
      <c r="I136" s="9" t="str">
        <f>_xlfn.XLOOKUP(Timeform[[#This Row],[Vaardigheid]],Lijsten!C:C,Lijsten!A:A)</f>
        <v>Manage &amp; Control</v>
      </c>
    </row>
    <row r="137" spans="2:9" ht="15">
      <c r="B137" s="2" t="s">
        <v>2</v>
      </c>
      <c r="C137" s="2" t="s">
        <v>37</v>
      </c>
      <c r="D137" s="6" t="s">
        <v>38</v>
      </c>
      <c r="E137" s="6" t="s">
        <v>124</v>
      </c>
      <c r="F137" s="7">
        <v>45987</v>
      </c>
      <c r="G137" s="8">
        <v>3</v>
      </c>
      <c r="H137" s="2" t="s">
        <v>167</v>
      </c>
      <c r="I137" s="9" t="str">
        <f>_xlfn.XLOOKUP(Timeform[[#This Row],[Vaardigheid]],Lijsten!C:C,Lijsten!A:A)</f>
        <v>Analyseren</v>
      </c>
    </row>
    <row r="138" spans="2:9" ht="15">
      <c r="B138" s="2" t="s">
        <v>3</v>
      </c>
      <c r="C138" s="2" t="s">
        <v>37</v>
      </c>
      <c r="D138" s="6" t="s">
        <v>38</v>
      </c>
      <c r="E138" s="6" t="s">
        <v>124</v>
      </c>
      <c r="F138" s="7">
        <v>45987</v>
      </c>
      <c r="G138" s="8">
        <v>3</v>
      </c>
      <c r="H138" s="2" t="s">
        <v>167</v>
      </c>
      <c r="I138" s="9" t="str">
        <f>_xlfn.XLOOKUP(Timeform[[#This Row],[Vaardigheid]],Lijsten!C:C,Lijsten!A:A)</f>
        <v>Analyseren</v>
      </c>
    </row>
    <row r="139" spans="2:9" ht="15">
      <c r="B139" s="2" t="s">
        <v>2</v>
      </c>
      <c r="C139" s="2" t="s">
        <v>127</v>
      </c>
      <c r="D139" s="6" t="s">
        <v>128</v>
      </c>
      <c r="E139" s="6" t="s">
        <v>179</v>
      </c>
      <c r="F139" s="7">
        <v>45987</v>
      </c>
      <c r="G139" s="8">
        <v>1.5</v>
      </c>
      <c r="H139" s="2" t="s">
        <v>167</v>
      </c>
      <c r="I139" s="9" t="str">
        <f>_xlfn.XLOOKUP(Timeform[[#This Row],[Vaardigheid]],Lijsten!C:C,Lijsten!A:A)</f>
        <v>Realiseren</v>
      </c>
    </row>
    <row r="140" spans="2:9" ht="29.25">
      <c r="B140" s="2" t="s">
        <v>2</v>
      </c>
      <c r="C140" s="2" t="s">
        <v>127</v>
      </c>
      <c r="D140" s="6" t="s">
        <v>155</v>
      </c>
      <c r="E140" s="6" t="s">
        <v>185</v>
      </c>
      <c r="F140" s="7">
        <v>45987</v>
      </c>
      <c r="G140" s="8">
        <v>1</v>
      </c>
      <c r="H140" s="2" t="s">
        <v>167</v>
      </c>
      <c r="I140" s="9" t="str">
        <f>_xlfn.XLOOKUP(Timeform[[#This Row],[Vaardigheid]],Lijsten!C:C,Lijsten!A:A)</f>
        <v>Realiseren</v>
      </c>
    </row>
    <row r="141" spans="2:9" ht="29.25">
      <c r="B141" s="2" t="s">
        <v>3</v>
      </c>
      <c r="C141" s="2" t="s">
        <v>77</v>
      </c>
      <c r="D141" s="6" t="s">
        <v>80</v>
      </c>
      <c r="E141" s="6" t="s">
        <v>186</v>
      </c>
      <c r="F141" s="7">
        <v>45987</v>
      </c>
      <c r="G141" s="8">
        <v>3</v>
      </c>
      <c r="H141" s="2" t="s">
        <v>167</v>
      </c>
      <c r="I141" s="9" t="str">
        <f>_xlfn.XLOOKUP(Timeform[[#This Row],[Vaardigheid]],Lijsten!C:C,Lijsten!A:A)</f>
        <v>Ontwerpen</v>
      </c>
    </row>
    <row r="142" spans="2:9" ht="15">
      <c r="B142" s="2" t="s">
        <v>7</v>
      </c>
      <c r="C142" s="2" t="s">
        <v>127</v>
      </c>
      <c r="D142" s="6" t="s">
        <v>128</v>
      </c>
      <c r="E142" s="6" t="s">
        <v>187</v>
      </c>
      <c r="F142" s="7">
        <v>45987</v>
      </c>
      <c r="G142" s="8">
        <v>3</v>
      </c>
      <c r="H142" s="2" t="s">
        <v>167</v>
      </c>
      <c r="I142" s="9" t="str">
        <f>_xlfn.XLOOKUP(Timeform[[#This Row],[Vaardigheid]],Lijsten!C:C,Lijsten!A:A)</f>
        <v>Realiseren</v>
      </c>
    </row>
    <row r="143" spans="2:9" ht="15">
      <c r="B143" s="2" t="s">
        <v>5</v>
      </c>
      <c r="C143" s="2" t="s">
        <v>127</v>
      </c>
      <c r="D143" s="6" t="s">
        <v>128</v>
      </c>
      <c r="E143" s="6" t="s">
        <v>188</v>
      </c>
      <c r="F143" s="46">
        <v>45987</v>
      </c>
      <c r="G143" s="8">
        <v>2.5</v>
      </c>
      <c r="H143" s="2" t="s">
        <v>120</v>
      </c>
      <c r="I143" s="9" t="str">
        <f>_xlfn.XLOOKUP(Timeform[[#This Row],[Vaardigheid]],Lijsten!C:C,Lijsten!A:A)</f>
        <v>Realiseren</v>
      </c>
    </row>
    <row r="144" spans="2:9" ht="15">
      <c r="B144" s="2" t="s">
        <v>2</v>
      </c>
      <c r="C144" s="2" t="s">
        <v>50</v>
      </c>
      <c r="D144" s="6" t="s">
        <v>171</v>
      </c>
      <c r="E144" s="6" t="s">
        <v>172</v>
      </c>
      <c r="F144" s="7">
        <v>45987</v>
      </c>
      <c r="G144" s="8">
        <v>0.5</v>
      </c>
      <c r="H144" s="2" t="s">
        <v>167</v>
      </c>
      <c r="I144" s="9" t="str">
        <f>_xlfn.XLOOKUP(Timeform[[#This Row],[Vaardigheid]],Lijsten!C:C,Lijsten!A:A)</f>
        <v>Manage &amp; Control</v>
      </c>
    </row>
    <row r="145" spans="2:9" ht="15">
      <c r="B145" s="2" t="s">
        <v>3</v>
      </c>
      <c r="C145" s="2" t="s">
        <v>50</v>
      </c>
      <c r="D145" s="6" t="s">
        <v>171</v>
      </c>
      <c r="E145" s="6" t="s">
        <v>171</v>
      </c>
      <c r="F145" s="7">
        <v>45987</v>
      </c>
      <c r="G145" s="8">
        <v>0.5</v>
      </c>
      <c r="H145" s="2" t="s">
        <v>167</v>
      </c>
      <c r="I145" s="9" t="str">
        <f>_xlfn.XLOOKUP(Timeform[[#This Row],[Vaardigheid]],Lijsten!C:C,Lijsten!A:A)</f>
        <v>Manage &amp; Control</v>
      </c>
    </row>
    <row r="146" spans="2:9" ht="15">
      <c r="B146" s="2" t="s">
        <v>2</v>
      </c>
      <c r="C146" s="2" t="s">
        <v>50</v>
      </c>
      <c r="D146" s="6" t="s">
        <v>138</v>
      </c>
      <c r="E146" s="6" t="s">
        <v>189</v>
      </c>
      <c r="F146" s="7">
        <v>45987</v>
      </c>
      <c r="G146" s="8">
        <v>0.25</v>
      </c>
      <c r="H146" s="2" t="s">
        <v>167</v>
      </c>
      <c r="I146" s="9" t="str">
        <f>_xlfn.XLOOKUP(Timeform[[#This Row],[Vaardigheid]],Lijsten!C:C,Lijsten!A:A)</f>
        <v>Adviseren</v>
      </c>
    </row>
    <row r="147" spans="2:9" ht="15">
      <c r="B147" s="2" t="s">
        <v>2</v>
      </c>
      <c r="C147" s="2" t="s">
        <v>77</v>
      </c>
      <c r="D147" s="6" t="s">
        <v>78</v>
      </c>
      <c r="E147" s="6" t="s">
        <v>190</v>
      </c>
      <c r="F147" s="7">
        <v>45987</v>
      </c>
      <c r="G147" s="8">
        <v>0.5</v>
      </c>
      <c r="H147" s="2" t="s">
        <v>167</v>
      </c>
      <c r="I147" s="9" t="str">
        <f>_xlfn.XLOOKUP(Timeform[[#This Row],[Vaardigheid]],Lijsten!C:C,Lijsten!A:A)</f>
        <v>Ontwerpen</v>
      </c>
    </row>
    <row r="148" spans="2:9" ht="15">
      <c r="B148" s="25" t="s">
        <v>5</v>
      </c>
      <c r="C148" s="25" t="s">
        <v>37</v>
      </c>
      <c r="D148" s="80" t="s">
        <v>38</v>
      </c>
      <c r="E148" s="80" t="s">
        <v>124</v>
      </c>
      <c r="F148" s="47">
        <v>45987</v>
      </c>
      <c r="G148" s="79">
        <v>3</v>
      </c>
      <c r="H148" s="25" t="s">
        <v>167</v>
      </c>
      <c r="I148" s="88" t="str">
        <f>_xlfn.XLOOKUP(Timeform[[#This Row],[Vaardigheid]],Lijsten!C:C,Lijsten!A:A)</f>
        <v>Analyseren</v>
      </c>
    </row>
    <row r="149" spans="2:9" ht="15">
      <c r="B149" s="2" t="s">
        <v>5</v>
      </c>
      <c r="C149" s="2" t="s">
        <v>50</v>
      </c>
      <c r="D149" s="6" t="s">
        <v>171</v>
      </c>
      <c r="E149" s="6" t="s">
        <v>171</v>
      </c>
      <c r="F149" s="7">
        <v>45987</v>
      </c>
      <c r="G149" s="8">
        <v>0.5</v>
      </c>
      <c r="H149" s="2" t="s">
        <v>167</v>
      </c>
      <c r="I149" s="9" t="str">
        <f>_xlfn.XLOOKUP(Timeform[[#This Row],[Vaardigheid]],Lijsten!C:C,Lijsten!A:A)</f>
        <v>Manage &amp; Control</v>
      </c>
    </row>
    <row r="150" spans="2:9" ht="15">
      <c r="B150" s="51" t="s">
        <v>7</v>
      </c>
      <c r="C150" s="51" t="s">
        <v>50</v>
      </c>
      <c r="D150" s="55" t="s">
        <v>171</v>
      </c>
      <c r="E150" s="55" t="s">
        <v>173</v>
      </c>
      <c r="F150" s="120">
        <v>45987</v>
      </c>
      <c r="G150" s="56">
        <v>0.5</v>
      </c>
      <c r="H150" s="51" t="s">
        <v>167</v>
      </c>
      <c r="I150" s="9" t="str">
        <f>_xlfn.XLOOKUP(Timeform[[#This Row],[Vaardigheid]],Lijsten!C:C,Lijsten!A:A)</f>
        <v>Manage &amp; Control</v>
      </c>
    </row>
    <row r="151" spans="2:9" ht="15">
      <c r="B151" s="2" t="s">
        <v>7</v>
      </c>
      <c r="C151" s="2" t="s">
        <v>37</v>
      </c>
      <c r="D151" s="6" t="s">
        <v>38</v>
      </c>
      <c r="E151" s="6" t="s">
        <v>191</v>
      </c>
      <c r="F151" s="7">
        <v>45987</v>
      </c>
      <c r="G151" s="8">
        <v>2</v>
      </c>
      <c r="H151" s="2" t="s">
        <v>167</v>
      </c>
      <c r="I151" s="9" t="str">
        <f>_xlfn.XLOOKUP(Timeform[[#This Row],[Vaardigheid]],Lijsten!C:C,Lijsten!A:A)</f>
        <v>Analyseren</v>
      </c>
    </row>
    <row r="152" spans="2:9" ht="15">
      <c r="B152" s="2" t="s">
        <v>2</v>
      </c>
      <c r="C152" s="2" t="s">
        <v>127</v>
      </c>
      <c r="D152" s="6" t="s">
        <v>155</v>
      </c>
      <c r="E152" s="6" t="s">
        <v>192</v>
      </c>
      <c r="F152" s="7">
        <v>45988</v>
      </c>
      <c r="G152" s="8">
        <v>1</v>
      </c>
      <c r="H152" s="2" t="s">
        <v>167</v>
      </c>
      <c r="I152" s="9" t="str">
        <f>_xlfn.XLOOKUP(Timeform[[#This Row],[Vaardigheid]],Lijsten!C:C,Lijsten!A:A)</f>
        <v>Realiseren</v>
      </c>
    </row>
    <row r="153" spans="2:9" ht="15">
      <c r="B153" s="2" t="s">
        <v>3</v>
      </c>
      <c r="C153" s="2" t="s">
        <v>64</v>
      </c>
      <c r="D153" s="6" t="s">
        <v>134</v>
      </c>
      <c r="E153" s="6" t="s">
        <v>193</v>
      </c>
      <c r="F153" s="7">
        <v>45988</v>
      </c>
      <c r="G153" s="8">
        <v>2</v>
      </c>
      <c r="H153" s="2" t="s">
        <v>167</v>
      </c>
      <c r="I153" s="9" t="str">
        <f>_xlfn.XLOOKUP(Timeform[[#This Row],[Vaardigheid]],Lijsten!C:C,Lijsten!A:A)</f>
        <v>Ontwerpen</v>
      </c>
    </row>
    <row r="154" spans="2:9" ht="15">
      <c r="B154" s="2" t="s">
        <v>5</v>
      </c>
      <c r="C154" s="2" t="s">
        <v>127</v>
      </c>
      <c r="D154" s="6" t="s">
        <v>128</v>
      </c>
      <c r="E154" s="6" t="s">
        <v>194</v>
      </c>
      <c r="F154" s="47">
        <v>45988</v>
      </c>
      <c r="G154" s="8">
        <v>1.5</v>
      </c>
      <c r="H154" s="2" t="s">
        <v>120</v>
      </c>
      <c r="I154" s="9" t="str">
        <f>_xlfn.XLOOKUP(Timeform[[#This Row],[Vaardigheid]],Lijsten!C:C,Lijsten!A:A)</f>
        <v>Realiseren</v>
      </c>
    </row>
    <row r="155" spans="2:9" ht="15">
      <c r="B155" s="2" t="s">
        <v>2</v>
      </c>
      <c r="C155" s="2" t="s">
        <v>50</v>
      </c>
      <c r="D155" s="6" t="s">
        <v>171</v>
      </c>
      <c r="E155" s="6" t="s">
        <v>172</v>
      </c>
      <c r="F155" s="7">
        <v>45988</v>
      </c>
      <c r="G155" s="8">
        <v>0.5</v>
      </c>
      <c r="H155" s="2" t="s">
        <v>167</v>
      </c>
      <c r="I155" s="9" t="str">
        <f>_xlfn.XLOOKUP(Timeform[[#This Row],[Vaardigheid]],Lijsten!C:C,Lijsten!A:A)</f>
        <v>Manage &amp; Control</v>
      </c>
    </row>
    <row r="156" spans="2:9" ht="15">
      <c r="B156" s="2" t="s">
        <v>3</v>
      </c>
      <c r="C156" s="2" t="s">
        <v>50</v>
      </c>
      <c r="D156" s="6" t="s">
        <v>171</v>
      </c>
      <c r="E156" s="6" t="s">
        <v>171</v>
      </c>
      <c r="F156" s="7">
        <v>45988</v>
      </c>
      <c r="G156" s="8">
        <v>0.5</v>
      </c>
      <c r="H156" s="2" t="s">
        <v>167</v>
      </c>
      <c r="I156" s="9" t="str">
        <f>_xlfn.XLOOKUP(Timeform[[#This Row],[Vaardigheid]],Lijsten!C:C,Lijsten!A:A)</f>
        <v>Manage &amp; Control</v>
      </c>
    </row>
    <row r="157" spans="2:9" ht="15">
      <c r="B157" s="2" t="s">
        <v>5</v>
      </c>
      <c r="C157" s="2" t="s">
        <v>50</v>
      </c>
      <c r="D157" s="6" t="s">
        <v>171</v>
      </c>
      <c r="E157" s="6" t="s">
        <v>171</v>
      </c>
      <c r="F157" s="7">
        <v>45988</v>
      </c>
      <c r="G157" s="8">
        <v>0.5</v>
      </c>
      <c r="H157" s="2" t="s">
        <v>167</v>
      </c>
      <c r="I157" s="9" t="str">
        <f>_xlfn.XLOOKUP(Timeform[[#This Row],[Vaardigheid]],Lijsten!C:C,Lijsten!A:A)</f>
        <v>Manage &amp; Control</v>
      </c>
    </row>
    <row r="158" spans="2:9" ht="15">
      <c r="B158" s="51" t="s">
        <v>7</v>
      </c>
      <c r="C158" s="51" t="s">
        <v>50</v>
      </c>
      <c r="D158" s="55" t="s">
        <v>171</v>
      </c>
      <c r="E158" s="55" t="s">
        <v>173</v>
      </c>
      <c r="F158" s="120">
        <v>45988</v>
      </c>
      <c r="G158" s="56">
        <v>0.5</v>
      </c>
      <c r="H158" s="51" t="s">
        <v>167</v>
      </c>
      <c r="I158" s="9" t="str">
        <f>_xlfn.XLOOKUP(Timeform[[#This Row],[Vaardigheid]],Lijsten!C:C,Lijsten!A:A)</f>
        <v>Manage &amp; Control</v>
      </c>
    </row>
    <row r="159" spans="2:9" ht="43.5">
      <c r="B159" s="2" t="s">
        <v>2</v>
      </c>
      <c r="C159" s="2" t="s">
        <v>127</v>
      </c>
      <c r="D159" s="6" t="s">
        <v>128</v>
      </c>
      <c r="E159" s="6" t="s">
        <v>195</v>
      </c>
      <c r="F159" s="7">
        <v>45989</v>
      </c>
      <c r="G159" s="8">
        <v>3</v>
      </c>
      <c r="H159" s="2" t="s">
        <v>167</v>
      </c>
      <c r="I159" s="9" t="str">
        <f>_xlfn.XLOOKUP(Timeform[[#This Row],[Vaardigheid]],Lijsten!C:C,Lijsten!A:A)</f>
        <v>Realiseren</v>
      </c>
    </row>
    <row r="160" spans="2:9" ht="15">
      <c r="B160" s="2" t="s">
        <v>3</v>
      </c>
      <c r="C160" s="2" t="s">
        <v>64</v>
      </c>
      <c r="D160" s="6" t="s">
        <v>134</v>
      </c>
      <c r="E160" s="6" t="s">
        <v>193</v>
      </c>
      <c r="F160" s="7">
        <v>45989</v>
      </c>
      <c r="G160" s="8">
        <v>2</v>
      </c>
      <c r="H160" s="2" t="s">
        <v>167</v>
      </c>
      <c r="I160" s="9" t="str">
        <f>_xlfn.XLOOKUP(Timeform[[#This Row],[Vaardigheid]],Lijsten!C:C,Lijsten!A:A)</f>
        <v>Ontwerpen</v>
      </c>
    </row>
    <row r="161" spans="2:9" ht="15">
      <c r="B161" s="2" t="s">
        <v>7</v>
      </c>
      <c r="C161" s="2" t="s">
        <v>37</v>
      </c>
      <c r="D161" s="6" t="s">
        <v>38</v>
      </c>
      <c r="E161" s="6" t="s">
        <v>196</v>
      </c>
      <c r="F161" s="47">
        <v>45989</v>
      </c>
      <c r="G161" s="8">
        <v>2</v>
      </c>
      <c r="H161" s="2" t="s">
        <v>167</v>
      </c>
      <c r="I161" s="9" t="str">
        <f>_xlfn.XLOOKUP(Timeform[[#This Row],[Vaardigheid]],Lijsten!C:C,Lijsten!A:A)</f>
        <v>Analyseren</v>
      </c>
    </row>
    <row r="162" spans="2:9" ht="15">
      <c r="B162" s="2" t="s">
        <v>5</v>
      </c>
      <c r="C162" s="2" t="s">
        <v>64</v>
      </c>
      <c r="D162" s="6" t="s">
        <v>134</v>
      </c>
      <c r="E162" s="6" t="s">
        <v>197</v>
      </c>
      <c r="F162" s="47">
        <v>45989</v>
      </c>
      <c r="G162" s="8">
        <v>2.5</v>
      </c>
      <c r="H162" s="2" t="s">
        <v>120</v>
      </c>
      <c r="I162" s="9" t="str">
        <f>_xlfn.XLOOKUP(Timeform[[#This Row],[Vaardigheid]],Lijsten!C:C,Lijsten!A:A)</f>
        <v>Ontwerpen</v>
      </c>
    </row>
    <row r="163" spans="2:9" ht="15">
      <c r="B163" s="2" t="s">
        <v>2</v>
      </c>
      <c r="C163" s="2" t="s">
        <v>50</v>
      </c>
      <c r="D163" s="6" t="s">
        <v>171</v>
      </c>
      <c r="E163" s="6" t="s">
        <v>172</v>
      </c>
      <c r="F163" s="7">
        <v>45989</v>
      </c>
      <c r="G163" s="8">
        <v>0.5</v>
      </c>
      <c r="H163" s="2" t="s">
        <v>167</v>
      </c>
      <c r="I163" s="9" t="str">
        <f>_xlfn.XLOOKUP(Timeform[[#This Row],[Vaardigheid]],Lijsten!C:C,Lijsten!A:A)</f>
        <v>Manage &amp; Control</v>
      </c>
    </row>
    <row r="164" spans="2:9" ht="15">
      <c r="B164" s="2" t="s">
        <v>2</v>
      </c>
      <c r="C164" s="2" t="s">
        <v>55</v>
      </c>
      <c r="D164" s="6" t="s">
        <v>74</v>
      </c>
      <c r="E164" s="6" t="s">
        <v>198</v>
      </c>
      <c r="F164" s="7">
        <v>45989</v>
      </c>
      <c r="G164" s="8">
        <v>0.3</v>
      </c>
      <c r="H164" s="2" t="s">
        <v>167</v>
      </c>
      <c r="I164" s="9" t="str">
        <f>_xlfn.XLOOKUP(Timeform[[#This Row],[Vaardigheid]],Lijsten!C:C,Lijsten!A:A)</f>
        <v>Realiseren</v>
      </c>
    </row>
    <row r="165" spans="2:9" ht="15">
      <c r="B165" s="2" t="s">
        <v>2</v>
      </c>
      <c r="C165" s="2" t="s">
        <v>55</v>
      </c>
      <c r="D165" s="6" t="s">
        <v>74</v>
      </c>
      <c r="E165" s="6" t="s">
        <v>199</v>
      </c>
      <c r="F165" s="7">
        <v>45989</v>
      </c>
      <c r="G165" s="8">
        <v>0.3</v>
      </c>
      <c r="H165" s="2" t="s">
        <v>167</v>
      </c>
      <c r="I165" s="9" t="str">
        <f>_xlfn.XLOOKUP(Timeform[[#This Row],[Vaardigheid]],Lijsten!C:C,Lijsten!A:A)</f>
        <v>Realiseren</v>
      </c>
    </row>
    <row r="166" spans="2:9" ht="15">
      <c r="B166" s="2" t="s">
        <v>2</v>
      </c>
      <c r="C166" s="2" t="s">
        <v>55</v>
      </c>
      <c r="D166" s="6" t="s">
        <v>74</v>
      </c>
      <c r="E166" s="6" t="s">
        <v>200</v>
      </c>
      <c r="F166" s="7">
        <v>45989</v>
      </c>
      <c r="G166" s="8">
        <v>0.3</v>
      </c>
      <c r="H166" s="2" t="s">
        <v>167</v>
      </c>
      <c r="I166" s="9" t="str">
        <f>_xlfn.XLOOKUP(Timeform[[#This Row],[Vaardigheid]],Lijsten!C:C,Lijsten!A:A)</f>
        <v>Realiseren</v>
      </c>
    </row>
    <row r="167" spans="2:9" ht="29.25">
      <c r="B167" s="2" t="s">
        <v>2</v>
      </c>
      <c r="C167" s="2" t="s">
        <v>77</v>
      </c>
      <c r="D167" s="6" t="s">
        <v>107</v>
      </c>
      <c r="E167" s="6" t="s">
        <v>108</v>
      </c>
      <c r="F167" s="7">
        <v>45989</v>
      </c>
      <c r="G167" s="8">
        <v>0.3</v>
      </c>
      <c r="H167" s="2" t="s">
        <v>167</v>
      </c>
      <c r="I167" s="9" t="str">
        <f>_xlfn.XLOOKUP(Timeform[[#This Row],[Vaardigheid]],Lijsten!C:C,Lijsten!A:A)</f>
        <v>Realiseren</v>
      </c>
    </row>
    <row r="168" spans="2:9" ht="29.25">
      <c r="B168" s="2" t="s">
        <v>2</v>
      </c>
      <c r="C168" s="2" t="s">
        <v>77</v>
      </c>
      <c r="D168" s="6" t="s">
        <v>107</v>
      </c>
      <c r="E168" s="6" t="s">
        <v>108</v>
      </c>
      <c r="F168" s="7">
        <v>45989</v>
      </c>
      <c r="G168" s="8">
        <v>0.3</v>
      </c>
      <c r="H168" s="2" t="s">
        <v>167</v>
      </c>
      <c r="I168" s="9" t="str">
        <f>_xlfn.XLOOKUP(Timeform[[#This Row],[Vaardigheid]],Lijsten!C:C,Lijsten!A:A)</f>
        <v>Realiseren</v>
      </c>
    </row>
    <row r="169" spans="2:9" ht="29.25">
      <c r="B169" s="2" t="s">
        <v>2</v>
      </c>
      <c r="C169" s="2" t="s">
        <v>77</v>
      </c>
      <c r="D169" s="6" t="s">
        <v>107</v>
      </c>
      <c r="E169" s="6" t="s">
        <v>108</v>
      </c>
      <c r="F169" s="7">
        <v>45989</v>
      </c>
      <c r="G169" s="8">
        <v>0.3</v>
      </c>
      <c r="H169" s="2" t="s">
        <v>167</v>
      </c>
      <c r="I169" s="9" t="str">
        <f>_xlfn.XLOOKUP(Timeform[[#This Row],[Vaardigheid]],Lijsten!C:C,Lijsten!A:A)</f>
        <v>Realiseren</v>
      </c>
    </row>
    <row r="170" spans="2:9" ht="15">
      <c r="B170" s="2" t="s">
        <v>3</v>
      </c>
      <c r="C170" s="2" t="s">
        <v>50</v>
      </c>
      <c r="D170" s="6" t="s">
        <v>171</v>
      </c>
      <c r="E170" s="6" t="s">
        <v>171</v>
      </c>
      <c r="F170" s="7">
        <v>45989</v>
      </c>
      <c r="G170" s="8">
        <v>0.5</v>
      </c>
      <c r="H170" s="2" t="s">
        <v>167</v>
      </c>
      <c r="I170" s="9" t="str">
        <f>_xlfn.XLOOKUP(Timeform[[#This Row],[Vaardigheid]],Lijsten!C:C,Lijsten!A:A)</f>
        <v>Manage &amp; Control</v>
      </c>
    </row>
    <row r="171" spans="2:9" ht="15">
      <c r="B171" s="2" t="s">
        <v>5</v>
      </c>
      <c r="C171" s="2" t="s">
        <v>50</v>
      </c>
      <c r="D171" s="6" t="s">
        <v>171</v>
      </c>
      <c r="E171" s="6" t="s">
        <v>171</v>
      </c>
      <c r="F171" s="7">
        <v>45989</v>
      </c>
      <c r="G171" s="8">
        <v>0.5</v>
      </c>
      <c r="H171" s="2" t="s">
        <v>167</v>
      </c>
      <c r="I171" s="9" t="str">
        <f>_xlfn.XLOOKUP(Timeform[[#This Row],[Vaardigheid]],Lijsten!C:C,Lijsten!A:A)</f>
        <v>Manage &amp; Control</v>
      </c>
    </row>
    <row r="172" spans="2:9" ht="15">
      <c r="B172" s="51" t="s">
        <v>7</v>
      </c>
      <c r="C172" s="51" t="s">
        <v>50</v>
      </c>
      <c r="D172" s="55" t="s">
        <v>171</v>
      </c>
      <c r="E172" s="55" t="s">
        <v>173</v>
      </c>
      <c r="F172" s="120">
        <v>45989</v>
      </c>
      <c r="G172" s="56">
        <v>0.5</v>
      </c>
      <c r="H172" s="51" t="s">
        <v>167</v>
      </c>
      <c r="I172" s="9" t="str">
        <f>_xlfn.XLOOKUP(Timeform[[#This Row],[Vaardigheid]],Lijsten!C:C,Lijsten!A:A)</f>
        <v>Manage &amp; Control</v>
      </c>
    </row>
    <row r="173" spans="2:9" ht="15">
      <c r="B173" s="2" t="s">
        <v>7</v>
      </c>
      <c r="C173" s="2" t="s">
        <v>37</v>
      </c>
      <c r="D173" s="6" t="s">
        <v>38</v>
      </c>
      <c r="E173" s="6" t="s">
        <v>201</v>
      </c>
      <c r="F173" s="7">
        <v>45989</v>
      </c>
      <c r="G173" s="8">
        <v>2</v>
      </c>
      <c r="H173" s="2" t="s">
        <v>167</v>
      </c>
      <c r="I173" s="9" t="str">
        <f>_xlfn.XLOOKUP(Timeform[[#This Row],[Vaardigheid]],Lijsten!C:C,Lijsten!A:A)</f>
        <v>Analyseren</v>
      </c>
    </row>
    <row r="174" spans="2:9" ht="43.5">
      <c r="B174" s="2" t="s">
        <v>2</v>
      </c>
      <c r="C174" s="2" t="s">
        <v>127</v>
      </c>
      <c r="D174" s="6" t="s">
        <v>128</v>
      </c>
      <c r="E174" s="6" t="s">
        <v>202</v>
      </c>
      <c r="F174" s="7">
        <v>45990</v>
      </c>
      <c r="G174" s="8">
        <v>2</v>
      </c>
      <c r="H174" s="2" t="s">
        <v>167</v>
      </c>
      <c r="I174" s="9" t="str">
        <f>_xlfn.XLOOKUP(Timeform[[#This Row],[Vaardigheid]],Lijsten!C:C,Lijsten!A:A)</f>
        <v>Realiseren</v>
      </c>
    </row>
    <row r="175" spans="2:9" ht="43.5">
      <c r="B175" s="59" t="s">
        <v>9</v>
      </c>
      <c r="C175" s="40" t="s">
        <v>127</v>
      </c>
      <c r="D175" s="44" t="s">
        <v>128</v>
      </c>
      <c r="E175" s="44" t="s">
        <v>203</v>
      </c>
      <c r="F175" s="41">
        <v>45990</v>
      </c>
      <c r="G175" s="63">
        <v>4</v>
      </c>
      <c r="H175" s="40" t="s">
        <v>167</v>
      </c>
      <c r="I175" s="9" t="str">
        <f>_xlfn.XLOOKUP(Timeform[[#This Row],[Vaardigheid]],Lijsten!C:C,Lijsten!A:A)</f>
        <v>Realiseren</v>
      </c>
    </row>
    <row r="176" spans="2:9" ht="15">
      <c r="B176" s="59" t="s">
        <v>2</v>
      </c>
      <c r="C176" s="40" t="s">
        <v>50</v>
      </c>
      <c r="D176" s="44" t="s">
        <v>87</v>
      </c>
      <c r="E176" s="44" t="s">
        <v>204</v>
      </c>
      <c r="F176" s="7">
        <v>45990</v>
      </c>
      <c r="G176" s="63">
        <v>0.5</v>
      </c>
      <c r="H176" s="40" t="s">
        <v>167</v>
      </c>
      <c r="I176" s="9" t="str">
        <f>_xlfn.XLOOKUP(Timeform[[#This Row],[Vaardigheid]],Lijsten!C:C,Lijsten!A:A)</f>
        <v>Adviseren</v>
      </c>
    </row>
    <row r="177" spans="2:9" ht="15">
      <c r="B177" s="59" t="s">
        <v>2</v>
      </c>
      <c r="C177" s="40" t="s">
        <v>50</v>
      </c>
      <c r="D177" s="44" t="s">
        <v>171</v>
      </c>
      <c r="E177" s="44" t="s">
        <v>172</v>
      </c>
      <c r="F177" s="41">
        <v>45990</v>
      </c>
      <c r="G177" s="63">
        <v>0.5</v>
      </c>
      <c r="H177" s="40" t="s">
        <v>167</v>
      </c>
      <c r="I177" s="9" t="str">
        <f>_xlfn.XLOOKUP(Timeform[[#This Row],[Vaardigheid]],Lijsten!C:C,Lijsten!A:A)</f>
        <v>Manage &amp; Control</v>
      </c>
    </row>
    <row r="178" spans="2:9" ht="15">
      <c r="B178" s="59" t="s">
        <v>3</v>
      </c>
      <c r="C178" s="40" t="s">
        <v>50</v>
      </c>
      <c r="D178" s="44" t="s">
        <v>171</v>
      </c>
      <c r="E178" s="44" t="s">
        <v>171</v>
      </c>
      <c r="F178" s="41">
        <v>45990</v>
      </c>
      <c r="G178" s="63">
        <v>0.5</v>
      </c>
      <c r="H178" s="40" t="s">
        <v>167</v>
      </c>
      <c r="I178" s="9" t="str">
        <f>_xlfn.XLOOKUP(Timeform[[#This Row],[Vaardigheid]],Lijsten!C:C,Lijsten!A:A)</f>
        <v>Manage &amp; Control</v>
      </c>
    </row>
    <row r="179" spans="2:9" ht="15">
      <c r="B179" s="59" t="s">
        <v>2</v>
      </c>
      <c r="C179" s="40" t="s">
        <v>50</v>
      </c>
      <c r="D179" s="44" t="s">
        <v>60</v>
      </c>
      <c r="E179" s="6" t="s">
        <v>205</v>
      </c>
      <c r="F179" s="41">
        <v>45990</v>
      </c>
      <c r="G179" s="63">
        <v>0.5</v>
      </c>
      <c r="H179" s="40" t="s">
        <v>167</v>
      </c>
      <c r="I179" s="9" t="str">
        <f>_xlfn.XLOOKUP(Timeform[[#This Row],[Vaardigheid]],Lijsten!C:C,Lijsten!A:A)</f>
        <v>Realiseren</v>
      </c>
    </row>
    <row r="180" spans="2:9" ht="15">
      <c r="B180" s="59" t="s">
        <v>5</v>
      </c>
      <c r="C180" s="40" t="s">
        <v>50</v>
      </c>
      <c r="D180" s="44" t="s">
        <v>171</v>
      </c>
      <c r="E180" s="44" t="s">
        <v>171</v>
      </c>
      <c r="F180" s="41">
        <v>45990</v>
      </c>
      <c r="G180" s="63">
        <v>0.5</v>
      </c>
      <c r="H180" s="40" t="s">
        <v>167</v>
      </c>
      <c r="I180" s="9" t="str">
        <f>_xlfn.XLOOKUP(Timeform[[#This Row],[Vaardigheid]],Lijsten!C:C,Lijsten!A:A)</f>
        <v>Manage &amp; Control</v>
      </c>
    </row>
    <row r="181" spans="2:9" ht="15">
      <c r="B181" s="112" t="s">
        <v>7</v>
      </c>
      <c r="C181" s="113" t="s">
        <v>50</v>
      </c>
      <c r="D181" s="117" t="s">
        <v>171</v>
      </c>
      <c r="E181" s="117" t="s">
        <v>173</v>
      </c>
      <c r="F181" s="137">
        <v>45990</v>
      </c>
      <c r="G181" s="126">
        <v>0.5</v>
      </c>
      <c r="H181" s="113" t="s">
        <v>167</v>
      </c>
      <c r="I181" s="9" t="str">
        <f>_xlfn.XLOOKUP(Timeform[[#This Row],[Vaardigheid]],Lijsten!C:C,Lijsten!A:A)</f>
        <v>Manage &amp; Control</v>
      </c>
    </row>
    <row r="182" spans="2:9" ht="57.75">
      <c r="B182" s="59" t="s">
        <v>9</v>
      </c>
      <c r="C182" s="40" t="s">
        <v>127</v>
      </c>
      <c r="D182" s="44" t="s">
        <v>128</v>
      </c>
      <c r="E182" s="44" t="s">
        <v>206</v>
      </c>
      <c r="F182" s="41">
        <v>45991</v>
      </c>
      <c r="G182" s="63">
        <v>4.5</v>
      </c>
      <c r="H182" s="40" t="s">
        <v>167</v>
      </c>
      <c r="I182" s="9" t="str">
        <f>_xlfn.XLOOKUP(Timeform[[#This Row],[Vaardigheid]],Lijsten!C:C,Lijsten!A:A)</f>
        <v>Realiseren</v>
      </c>
    </row>
    <row r="183" spans="2:9" ht="15">
      <c r="B183" s="2" t="s">
        <v>2</v>
      </c>
      <c r="C183" s="2" t="s">
        <v>50</v>
      </c>
      <c r="D183" s="6" t="s">
        <v>171</v>
      </c>
      <c r="E183" s="6" t="s">
        <v>172</v>
      </c>
      <c r="F183" s="7">
        <v>45991</v>
      </c>
      <c r="G183" s="8">
        <v>0.5</v>
      </c>
      <c r="H183" s="2" t="s">
        <v>167</v>
      </c>
      <c r="I183" s="9" t="str">
        <f>_xlfn.XLOOKUP(Timeform[[#This Row],[Vaardigheid]],Lijsten!C:C,Lijsten!A:A)</f>
        <v>Manage &amp; Control</v>
      </c>
    </row>
    <row r="184" spans="2:9" ht="15">
      <c r="B184" s="2" t="s">
        <v>3</v>
      </c>
      <c r="C184" s="2" t="s">
        <v>50</v>
      </c>
      <c r="D184" s="6" t="s">
        <v>171</v>
      </c>
      <c r="E184" s="6" t="s">
        <v>171</v>
      </c>
      <c r="F184" s="7">
        <v>45991</v>
      </c>
      <c r="G184" s="8">
        <v>0.5</v>
      </c>
      <c r="H184" s="2" t="s">
        <v>167</v>
      </c>
      <c r="I184" s="9" t="str">
        <f>_xlfn.XLOOKUP(Timeform[[#This Row],[Vaardigheid]],Lijsten!C:C,Lijsten!A:A)</f>
        <v>Manage &amp; Control</v>
      </c>
    </row>
    <row r="185" spans="2:9" ht="15">
      <c r="B185" s="59" t="s">
        <v>2</v>
      </c>
      <c r="C185" s="2" t="s">
        <v>55</v>
      </c>
      <c r="D185" s="6" t="s">
        <v>83</v>
      </c>
      <c r="E185" s="6" t="s">
        <v>207</v>
      </c>
      <c r="F185" s="7">
        <v>45991</v>
      </c>
      <c r="G185" s="8">
        <v>0.35</v>
      </c>
      <c r="H185" s="2" t="s">
        <v>167</v>
      </c>
      <c r="I185" s="9" t="str">
        <f>_xlfn.XLOOKUP(Timeform[[#This Row],[Vaardigheid]],Lijsten!C:C,Lijsten!A:A)</f>
        <v>Realiseren</v>
      </c>
    </row>
    <row r="186" spans="2:9" ht="15">
      <c r="B186" s="2" t="s">
        <v>5</v>
      </c>
      <c r="C186" s="2" t="s">
        <v>50</v>
      </c>
      <c r="D186" s="6" t="s">
        <v>171</v>
      </c>
      <c r="E186" s="6" t="s">
        <v>171</v>
      </c>
      <c r="F186" s="7">
        <v>45991</v>
      </c>
      <c r="G186" s="8">
        <v>0.5</v>
      </c>
      <c r="H186" s="2" t="s">
        <v>167</v>
      </c>
      <c r="I186" s="9" t="str">
        <f>_xlfn.XLOOKUP(Timeform[[#This Row],[Vaardigheid]],Lijsten!C:C,Lijsten!A:A)</f>
        <v>Manage &amp; Control</v>
      </c>
    </row>
    <row r="187" spans="2:9" ht="15">
      <c r="B187" s="112" t="s">
        <v>7</v>
      </c>
      <c r="C187" s="51" t="s">
        <v>50</v>
      </c>
      <c r="D187" s="55" t="s">
        <v>171</v>
      </c>
      <c r="E187" s="117" t="s">
        <v>173</v>
      </c>
      <c r="F187" s="118">
        <v>45991</v>
      </c>
      <c r="G187" s="56">
        <v>0.5</v>
      </c>
      <c r="H187" s="51" t="s">
        <v>167</v>
      </c>
      <c r="I187" s="9" t="str">
        <f>_xlfn.XLOOKUP(Timeform[[#This Row],[Vaardigheid]],Lijsten!C:C,Lijsten!A:A)</f>
        <v>Manage &amp; Control</v>
      </c>
    </row>
    <row r="188" spans="2:9" ht="15">
      <c r="B188" s="2" t="s">
        <v>2</v>
      </c>
      <c r="C188" s="2" t="s">
        <v>50</v>
      </c>
      <c r="D188" s="6" t="s">
        <v>87</v>
      </c>
      <c r="E188" s="6" t="s">
        <v>208</v>
      </c>
      <c r="F188" s="7">
        <v>45992</v>
      </c>
      <c r="G188" s="8">
        <v>0.75</v>
      </c>
      <c r="H188" s="2" t="s">
        <v>167</v>
      </c>
      <c r="I188" s="9" t="str">
        <f>_xlfn.XLOOKUP(Timeform[[#This Row],[Vaardigheid]],Lijsten!C:C,Lijsten!A:A)</f>
        <v>Adviseren</v>
      </c>
    </row>
    <row r="189" spans="2:9" ht="57.75">
      <c r="B189" s="59" t="s">
        <v>2</v>
      </c>
      <c r="C189" s="2" t="s">
        <v>127</v>
      </c>
      <c r="D189" s="6" t="s">
        <v>128</v>
      </c>
      <c r="E189" s="6" t="s">
        <v>209</v>
      </c>
      <c r="F189" s="7">
        <v>45992</v>
      </c>
      <c r="G189" s="8">
        <v>3</v>
      </c>
      <c r="H189" s="2" t="s">
        <v>167</v>
      </c>
      <c r="I189" s="9" t="str">
        <f>_xlfn.XLOOKUP(Timeform[[#This Row],[Vaardigheid]],Lijsten!C:C,Lijsten!A:A)</f>
        <v>Realiseren</v>
      </c>
    </row>
    <row r="190" spans="2:9" ht="15">
      <c r="B190" s="2" t="s">
        <v>3</v>
      </c>
      <c r="C190" s="2" t="s">
        <v>127</v>
      </c>
      <c r="D190" s="6" t="s">
        <v>128</v>
      </c>
      <c r="E190" s="6" t="s">
        <v>210</v>
      </c>
      <c r="F190" s="7">
        <v>45992</v>
      </c>
      <c r="G190" s="8">
        <v>10</v>
      </c>
      <c r="H190" s="2" t="s">
        <v>167</v>
      </c>
      <c r="I190" s="9" t="str">
        <f>_xlfn.XLOOKUP(Timeform[[#This Row],[Vaardigheid]],Lijsten!C:C,Lijsten!A:A)</f>
        <v>Realiseren</v>
      </c>
    </row>
    <row r="191" spans="2:9" ht="15">
      <c r="B191" s="59" t="s">
        <v>5</v>
      </c>
      <c r="C191" s="2" t="s">
        <v>50</v>
      </c>
      <c r="D191" s="6" t="s">
        <v>115</v>
      </c>
      <c r="E191" s="6" t="s">
        <v>211</v>
      </c>
      <c r="F191" s="47">
        <v>45992</v>
      </c>
      <c r="G191" s="8">
        <v>0.5</v>
      </c>
      <c r="H191" s="2" t="s">
        <v>167</v>
      </c>
      <c r="I191" s="9" t="str">
        <f>_xlfn.XLOOKUP(Timeform[[#This Row],[Vaardigheid]],Lijsten!C:C,Lijsten!A:A)</f>
        <v>Adviseren</v>
      </c>
    </row>
    <row r="192" spans="2:9" ht="15">
      <c r="B192" s="2" t="s">
        <v>2</v>
      </c>
      <c r="C192" s="2" t="s">
        <v>50</v>
      </c>
      <c r="D192" s="6" t="s">
        <v>171</v>
      </c>
      <c r="E192" s="6" t="s">
        <v>172</v>
      </c>
      <c r="F192" s="7">
        <v>45992</v>
      </c>
      <c r="G192" s="8">
        <v>0.5</v>
      </c>
      <c r="H192" s="2" t="s">
        <v>167</v>
      </c>
      <c r="I192" s="9" t="str">
        <f>_xlfn.XLOOKUP(Timeform[[#This Row],[Vaardigheid]],Lijsten!C:C,Lijsten!A:A)</f>
        <v>Manage &amp; Control</v>
      </c>
    </row>
    <row r="193" spans="2:9" ht="15">
      <c r="B193" s="59" t="s">
        <v>3</v>
      </c>
      <c r="C193" s="2" t="s">
        <v>50</v>
      </c>
      <c r="D193" s="6" t="s">
        <v>171</v>
      </c>
      <c r="E193" s="6" t="s">
        <v>171</v>
      </c>
      <c r="F193" s="7">
        <v>45992</v>
      </c>
      <c r="G193" s="8">
        <v>0.5</v>
      </c>
      <c r="H193" s="2" t="s">
        <v>167</v>
      </c>
      <c r="I193" s="9" t="str">
        <f>_xlfn.XLOOKUP(Timeform[[#This Row],[Vaardigheid]],Lijsten!C:C,Lijsten!A:A)</f>
        <v>Manage &amp; Control</v>
      </c>
    </row>
    <row r="194" spans="2:9" ht="15">
      <c r="B194" s="2" t="s">
        <v>2</v>
      </c>
      <c r="C194" s="40" t="s">
        <v>50</v>
      </c>
      <c r="D194" s="6" t="s">
        <v>60</v>
      </c>
      <c r="E194" s="6" t="s">
        <v>212</v>
      </c>
      <c r="F194" s="7">
        <v>45992</v>
      </c>
      <c r="G194" s="8">
        <v>0.5</v>
      </c>
      <c r="H194" s="2" t="s">
        <v>167</v>
      </c>
      <c r="I194" s="9" t="str">
        <f>_xlfn.XLOOKUP(Timeform[[#This Row],[Vaardigheid]],Lijsten!C:C,Lijsten!A:A)</f>
        <v>Realiseren</v>
      </c>
    </row>
    <row r="195" spans="2:9" ht="15">
      <c r="B195" s="2" t="s">
        <v>5</v>
      </c>
      <c r="C195" s="40" t="s">
        <v>50</v>
      </c>
      <c r="D195" s="6" t="s">
        <v>171</v>
      </c>
      <c r="E195" s="6" t="s">
        <v>171</v>
      </c>
      <c r="F195" s="7">
        <v>45992</v>
      </c>
      <c r="G195" s="8">
        <v>0.5</v>
      </c>
      <c r="H195" s="2" t="s">
        <v>167</v>
      </c>
      <c r="I195" s="9" t="str">
        <f>_xlfn.XLOOKUP(Timeform[[#This Row],[Vaardigheid]],Lijsten!C:C,Lijsten!A:A)</f>
        <v>Manage &amp; Control</v>
      </c>
    </row>
    <row r="196" spans="2:9" ht="15">
      <c r="B196" s="51" t="s">
        <v>7</v>
      </c>
      <c r="C196" s="113" t="s">
        <v>50</v>
      </c>
      <c r="D196" s="55" t="s">
        <v>171</v>
      </c>
      <c r="E196" s="55" t="s">
        <v>173</v>
      </c>
      <c r="F196" s="118">
        <v>45992</v>
      </c>
      <c r="G196" s="56">
        <v>0.5</v>
      </c>
      <c r="H196" s="51" t="s">
        <v>167</v>
      </c>
      <c r="I196" s="9" t="str">
        <f>_xlfn.XLOOKUP(Timeform[[#This Row],[Vaardigheid]],Lijsten!C:C,Lijsten!A:A)</f>
        <v>Manage &amp; Control</v>
      </c>
    </row>
    <row r="197" spans="2:9" ht="15">
      <c r="B197" s="2" t="s">
        <v>7</v>
      </c>
      <c r="C197" s="2" t="s">
        <v>50</v>
      </c>
      <c r="D197" s="6" t="s">
        <v>115</v>
      </c>
      <c r="E197" s="6" t="s">
        <v>213</v>
      </c>
      <c r="F197" s="136">
        <v>45992</v>
      </c>
      <c r="G197" s="8">
        <v>1</v>
      </c>
      <c r="H197" s="2" t="s">
        <v>167</v>
      </c>
      <c r="I197" s="9" t="str">
        <f>_xlfn.XLOOKUP(Timeform[[#This Row],[Vaardigheid]],Lijsten!C:C,Lijsten!A:A)</f>
        <v>Adviseren</v>
      </c>
    </row>
    <row r="198" spans="2:9" ht="15">
      <c r="B198" s="2" t="s">
        <v>2</v>
      </c>
      <c r="C198" s="2" t="s">
        <v>50</v>
      </c>
      <c r="D198" s="6" t="s">
        <v>97</v>
      </c>
      <c r="E198" s="6" t="s">
        <v>124</v>
      </c>
      <c r="F198" s="7">
        <v>45993</v>
      </c>
      <c r="G198" s="8">
        <v>2</v>
      </c>
      <c r="H198" s="2" t="s">
        <v>167</v>
      </c>
      <c r="I198" s="9" t="str">
        <f>_xlfn.XLOOKUP(Timeform[[#This Row],[Vaardigheid]],Lijsten!C:C,Lijsten!A:A)</f>
        <v>Analyseren</v>
      </c>
    </row>
    <row r="199" spans="2:9" ht="15">
      <c r="B199" s="2" t="s">
        <v>3</v>
      </c>
      <c r="C199" s="2" t="s">
        <v>50</v>
      </c>
      <c r="D199" s="6" t="s">
        <v>97</v>
      </c>
      <c r="E199" s="6" t="s">
        <v>124</v>
      </c>
      <c r="F199" s="7">
        <v>45993</v>
      </c>
      <c r="G199" s="8">
        <v>2</v>
      </c>
      <c r="H199" s="2" t="s">
        <v>167</v>
      </c>
      <c r="I199" s="9" t="str">
        <f>_xlfn.XLOOKUP(Timeform[[#This Row],[Vaardigheid]],Lijsten!C:C,Lijsten!A:A)</f>
        <v>Analyseren</v>
      </c>
    </row>
    <row r="200" spans="2:9" ht="15">
      <c r="B200" s="2" t="s">
        <v>5</v>
      </c>
      <c r="C200" s="2" t="s">
        <v>50</v>
      </c>
      <c r="D200" s="6" t="s">
        <v>97</v>
      </c>
      <c r="E200" s="6" t="s">
        <v>124</v>
      </c>
      <c r="F200" s="7">
        <v>45993</v>
      </c>
      <c r="G200" s="8">
        <v>2</v>
      </c>
      <c r="H200" s="2" t="s">
        <v>167</v>
      </c>
      <c r="I200" s="9" t="str">
        <f>_xlfn.XLOOKUP(Timeform[[#This Row],[Vaardigheid]],Lijsten!C:C,Lijsten!A:A)</f>
        <v>Analyseren</v>
      </c>
    </row>
    <row r="201" spans="2:9" ht="15">
      <c r="B201" s="2" t="s">
        <v>7</v>
      </c>
      <c r="C201" s="2" t="s">
        <v>50</v>
      </c>
      <c r="D201" s="6" t="s">
        <v>97</v>
      </c>
      <c r="E201" s="6" t="s">
        <v>124</v>
      </c>
      <c r="F201" s="7">
        <v>45993</v>
      </c>
      <c r="G201" s="8">
        <v>2</v>
      </c>
      <c r="H201" s="2" t="s">
        <v>167</v>
      </c>
      <c r="I201" s="9" t="str">
        <f>_xlfn.XLOOKUP(Timeform[[#This Row],[Vaardigheid]],Lijsten!C:C,Lijsten!A:A)</f>
        <v>Analyseren</v>
      </c>
    </row>
    <row r="202" spans="2:9" ht="29.25">
      <c r="B202" s="2" t="s">
        <v>2</v>
      </c>
      <c r="C202" s="2" t="s">
        <v>127</v>
      </c>
      <c r="D202" s="6" t="s">
        <v>128</v>
      </c>
      <c r="E202" s="6" t="s">
        <v>214</v>
      </c>
      <c r="F202" s="7">
        <v>45993</v>
      </c>
      <c r="G202" s="8">
        <v>4</v>
      </c>
      <c r="H202" s="2" t="s">
        <v>167</v>
      </c>
      <c r="I202" s="9" t="str">
        <f>_xlfn.XLOOKUP(Timeform[[#This Row],[Vaardigheid]],Lijsten!C:C,Lijsten!A:A)</f>
        <v>Realiseren</v>
      </c>
    </row>
    <row r="203" spans="2:9" ht="15">
      <c r="B203" s="2" t="s">
        <v>2</v>
      </c>
      <c r="C203" s="2" t="s">
        <v>50</v>
      </c>
      <c r="D203" s="6" t="s">
        <v>138</v>
      </c>
      <c r="E203" s="6" t="s">
        <v>215</v>
      </c>
      <c r="F203" s="47">
        <v>45993</v>
      </c>
      <c r="G203" s="8">
        <v>0.5</v>
      </c>
      <c r="H203" s="2" t="s">
        <v>167</v>
      </c>
      <c r="I203" s="9" t="str">
        <f>_xlfn.XLOOKUP(Timeform[[#This Row],[Vaardigheid]],Lijsten!C:C,Lijsten!A:A)</f>
        <v>Adviseren</v>
      </c>
    </row>
    <row r="204" spans="2:9" ht="15">
      <c r="B204" s="2" t="s">
        <v>2</v>
      </c>
      <c r="C204" s="2" t="s">
        <v>50</v>
      </c>
      <c r="D204" s="6" t="s">
        <v>171</v>
      </c>
      <c r="E204" s="6" t="s">
        <v>172</v>
      </c>
      <c r="F204" s="7">
        <v>45993</v>
      </c>
      <c r="G204" s="8">
        <v>0.5</v>
      </c>
      <c r="H204" s="2" t="s">
        <v>167</v>
      </c>
      <c r="I204" s="9" t="str">
        <f>_xlfn.XLOOKUP(Timeform[[#This Row],[Vaardigheid]],Lijsten!C:C,Lijsten!A:A)</f>
        <v>Manage &amp; Control</v>
      </c>
    </row>
    <row r="205" spans="2:9" ht="15">
      <c r="B205" s="2" t="s">
        <v>2</v>
      </c>
      <c r="C205" s="2" t="s">
        <v>55</v>
      </c>
      <c r="D205" s="6" t="s">
        <v>74</v>
      </c>
      <c r="E205" s="6" t="s">
        <v>216</v>
      </c>
      <c r="F205" s="7">
        <v>45993</v>
      </c>
      <c r="G205" s="8">
        <v>0.3</v>
      </c>
      <c r="H205" s="2" t="s">
        <v>167</v>
      </c>
      <c r="I205" s="9" t="str">
        <f>_xlfn.XLOOKUP(Timeform[[#This Row],[Vaardigheid]],Lijsten!C:C,Lijsten!A:A)</f>
        <v>Realiseren</v>
      </c>
    </row>
    <row r="206" spans="2:9" ht="29.25">
      <c r="B206" s="2" t="s">
        <v>2</v>
      </c>
      <c r="C206" s="2" t="s">
        <v>77</v>
      </c>
      <c r="D206" s="6" t="s">
        <v>107</v>
      </c>
      <c r="E206" s="6" t="s">
        <v>108</v>
      </c>
      <c r="F206" s="7">
        <v>45993</v>
      </c>
      <c r="G206" s="8">
        <v>0.3</v>
      </c>
      <c r="H206" s="2" t="s">
        <v>167</v>
      </c>
      <c r="I206" s="9" t="str">
        <f>_xlfn.XLOOKUP(Timeform[[#This Row],[Vaardigheid]],Lijsten!C:C,Lijsten!A:A)</f>
        <v>Realiseren</v>
      </c>
    </row>
    <row r="207" spans="2:9" ht="15">
      <c r="B207" s="2" t="s">
        <v>3</v>
      </c>
      <c r="C207" s="2" t="s">
        <v>50</v>
      </c>
      <c r="D207" s="6" t="s">
        <v>171</v>
      </c>
      <c r="E207" s="6" t="s">
        <v>171</v>
      </c>
      <c r="F207" s="7">
        <v>45993</v>
      </c>
      <c r="G207" s="8">
        <v>0.5</v>
      </c>
      <c r="H207" s="2" t="s">
        <v>167</v>
      </c>
      <c r="I207" s="9" t="str">
        <f>_xlfn.XLOOKUP(Timeform[[#This Row],[Vaardigheid]],Lijsten!C:C,Lijsten!A:A)</f>
        <v>Manage &amp; Control</v>
      </c>
    </row>
    <row r="208" spans="2:9" ht="15">
      <c r="B208" s="2" t="s">
        <v>5</v>
      </c>
      <c r="C208" s="2" t="s">
        <v>50</v>
      </c>
      <c r="D208" s="6" t="s">
        <v>171</v>
      </c>
      <c r="E208" s="6" t="s">
        <v>171</v>
      </c>
      <c r="F208" s="7">
        <v>45993</v>
      </c>
      <c r="G208" s="8">
        <v>0.5</v>
      </c>
      <c r="H208" s="2" t="s">
        <v>167</v>
      </c>
      <c r="I208" s="9" t="str">
        <f>_xlfn.XLOOKUP(Timeform[[#This Row],[Vaardigheid]],Lijsten!C:C,Lijsten!A:A)</f>
        <v>Manage &amp; Control</v>
      </c>
    </row>
    <row r="209" spans="2:9" ht="15">
      <c r="B209" s="51" t="s">
        <v>7</v>
      </c>
      <c r="C209" s="51" t="s">
        <v>50</v>
      </c>
      <c r="D209" s="55" t="s">
        <v>171</v>
      </c>
      <c r="E209" s="55" t="s">
        <v>173</v>
      </c>
      <c r="F209" s="118">
        <v>45993</v>
      </c>
      <c r="G209" s="56">
        <v>0.5</v>
      </c>
      <c r="H209" s="51" t="s">
        <v>167</v>
      </c>
      <c r="I209" s="9" t="str">
        <f>_xlfn.XLOOKUP(Timeform[[#This Row],[Vaardigheid]],Lijsten!C:C,Lijsten!A:A)</f>
        <v>Manage &amp; Control</v>
      </c>
    </row>
    <row r="210" spans="2:9" ht="15">
      <c r="B210" s="2" t="s">
        <v>2</v>
      </c>
      <c r="C210" s="2" t="s">
        <v>127</v>
      </c>
      <c r="D210" s="6" t="s">
        <v>128</v>
      </c>
      <c r="E210" s="6" t="s">
        <v>217</v>
      </c>
      <c r="F210" s="7">
        <v>45994</v>
      </c>
      <c r="G210" s="8">
        <v>2</v>
      </c>
      <c r="H210" s="2" t="s">
        <v>167</v>
      </c>
      <c r="I210" s="9" t="str">
        <f>_xlfn.XLOOKUP(Timeform[[#This Row],[Vaardigheid]],Lijsten!C:C,Lijsten!A:A)</f>
        <v>Realiseren</v>
      </c>
    </row>
    <row r="211" spans="2:9" ht="15">
      <c r="B211" s="2" t="s">
        <v>5</v>
      </c>
      <c r="C211" s="2" t="s">
        <v>50</v>
      </c>
      <c r="D211" s="6" t="s">
        <v>138</v>
      </c>
      <c r="E211" s="6" t="s">
        <v>218</v>
      </c>
      <c r="F211" s="7">
        <v>45994</v>
      </c>
      <c r="G211" s="8">
        <v>1.5</v>
      </c>
      <c r="H211" s="2" t="s">
        <v>167</v>
      </c>
      <c r="I211" s="9" t="str">
        <f>_xlfn.XLOOKUP(Timeform[[#This Row],[Vaardigheid]],Lijsten!C:C,Lijsten!A:A)</f>
        <v>Adviseren</v>
      </c>
    </row>
    <row r="212" spans="2:9" ht="15">
      <c r="B212" s="2" t="s">
        <v>7</v>
      </c>
      <c r="C212" s="2" t="s">
        <v>50</v>
      </c>
      <c r="D212" s="6" t="s">
        <v>97</v>
      </c>
      <c r="E212" s="6" t="s">
        <v>219</v>
      </c>
      <c r="F212" s="47">
        <v>45994</v>
      </c>
      <c r="G212" s="8">
        <v>2</v>
      </c>
      <c r="H212" s="2" t="s">
        <v>167</v>
      </c>
      <c r="I212" s="9" t="str">
        <f>_xlfn.XLOOKUP(Timeform[[#This Row],[Vaardigheid]],Lijsten!C:C,Lijsten!A:A)</f>
        <v>Analyseren</v>
      </c>
    </row>
    <row r="213" spans="2:9" ht="15">
      <c r="B213" s="2" t="s">
        <v>2</v>
      </c>
      <c r="C213" s="2" t="s">
        <v>50</v>
      </c>
      <c r="D213" s="6" t="s">
        <v>171</v>
      </c>
      <c r="E213" s="6" t="s">
        <v>172</v>
      </c>
      <c r="F213" s="7">
        <v>45994</v>
      </c>
      <c r="G213" s="8">
        <v>0.5</v>
      </c>
      <c r="H213" s="2" t="s">
        <v>167</v>
      </c>
      <c r="I213" s="9" t="str">
        <f>_xlfn.XLOOKUP(Timeform[[#This Row],[Vaardigheid]],Lijsten!C:C,Lijsten!A:A)</f>
        <v>Manage &amp; Control</v>
      </c>
    </row>
    <row r="214" spans="2:9" ht="15">
      <c r="B214" s="2" t="s">
        <v>3</v>
      </c>
      <c r="C214" s="2" t="s">
        <v>50</v>
      </c>
      <c r="D214" s="6" t="s">
        <v>171</v>
      </c>
      <c r="E214" s="6" t="s">
        <v>171</v>
      </c>
      <c r="F214" s="7">
        <v>45994</v>
      </c>
      <c r="G214" s="8">
        <v>0.5</v>
      </c>
      <c r="H214" s="2" t="s">
        <v>167</v>
      </c>
      <c r="I214" s="9" t="str">
        <f>_xlfn.XLOOKUP(Timeform[[#This Row],[Vaardigheid]],Lijsten!C:C,Lijsten!A:A)</f>
        <v>Manage &amp; Control</v>
      </c>
    </row>
    <row r="215" spans="2:9" ht="15">
      <c r="B215" s="2" t="s">
        <v>5</v>
      </c>
      <c r="C215" s="2" t="s">
        <v>50</v>
      </c>
      <c r="D215" s="6" t="s">
        <v>171</v>
      </c>
      <c r="E215" s="80" t="s">
        <v>171</v>
      </c>
      <c r="F215" s="7">
        <v>45994</v>
      </c>
      <c r="G215" s="8">
        <v>0.5</v>
      </c>
      <c r="H215" s="2" t="s">
        <v>167</v>
      </c>
      <c r="I215" s="9" t="str">
        <f>_xlfn.XLOOKUP(Timeform[[#This Row],[Vaardigheid]],Lijsten!C:C,Lijsten!A:A)</f>
        <v>Manage &amp; Control</v>
      </c>
    </row>
    <row r="216" spans="2:9" ht="15">
      <c r="B216" s="51" t="s">
        <v>7</v>
      </c>
      <c r="C216" s="51" t="s">
        <v>50</v>
      </c>
      <c r="D216" s="55" t="s">
        <v>171</v>
      </c>
      <c r="E216" s="55" t="s">
        <v>173</v>
      </c>
      <c r="F216" s="118">
        <v>45994</v>
      </c>
      <c r="G216" s="56">
        <v>0.5</v>
      </c>
      <c r="H216" s="51" t="s">
        <v>167</v>
      </c>
      <c r="I216" s="9" t="str">
        <f>_xlfn.XLOOKUP(Timeform[[#This Row],[Vaardigheid]],Lijsten!C:C,Lijsten!A:A)</f>
        <v>Manage &amp; Control</v>
      </c>
    </row>
    <row r="217" spans="2:9" ht="29.25">
      <c r="B217" s="51" t="s">
        <v>7</v>
      </c>
      <c r="C217" s="51" t="s">
        <v>127</v>
      </c>
      <c r="D217" t="s">
        <v>155</v>
      </c>
      <c r="E217" s="55" t="s">
        <v>220</v>
      </c>
      <c r="F217" s="118">
        <v>45994</v>
      </c>
      <c r="G217" s="56">
        <v>6</v>
      </c>
      <c r="H217" s="51" t="s">
        <v>167</v>
      </c>
      <c r="I217" s="9" t="str">
        <f>_xlfn.XLOOKUP(Timeform[[#This Row],[Vaardigheid]],Lijsten!C:C,Lijsten!A:A)</f>
        <v>Realiseren</v>
      </c>
    </row>
    <row r="218" spans="2:9" ht="15">
      <c r="B218" s="2" t="s">
        <v>2</v>
      </c>
      <c r="C218" s="2" t="s">
        <v>127</v>
      </c>
      <c r="D218" s="6" t="s">
        <v>128</v>
      </c>
      <c r="E218" s="6" t="s">
        <v>221</v>
      </c>
      <c r="F218" s="7">
        <v>45995</v>
      </c>
      <c r="G218" s="8">
        <v>1.5</v>
      </c>
      <c r="H218" s="2" t="s">
        <v>167</v>
      </c>
      <c r="I218" s="9" t="str">
        <f>_xlfn.XLOOKUP(Timeform[[#This Row],[Vaardigheid]],Lijsten!C:C,Lijsten!A:A)</f>
        <v>Realiseren</v>
      </c>
    </row>
    <row r="219" spans="2:9" ht="15">
      <c r="B219" s="2" t="s">
        <v>7</v>
      </c>
      <c r="C219" s="2" t="s">
        <v>127</v>
      </c>
      <c r="D219" s="6" t="s">
        <v>128</v>
      </c>
      <c r="E219" s="6" t="s">
        <v>222</v>
      </c>
      <c r="F219" s="47">
        <v>45995</v>
      </c>
      <c r="G219" s="8">
        <v>2</v>
      </c>
      <c r="H219" s="2" t="s">
        <v>167</v>
      </c>
      <c r="I219" s="9" t="str">
        <f>_xlfn.XLOOKUP(Timeform[[#This Row],[Vaardigheid]],Lijsten!C:C,Lijsten!A:A)</f>
        <v>Realiseren</v>
      </c>
    </row>
    <row r="220" spans="2:9" ht="15">
      <c r="B220" s="2" t="s">
        <v>3</v>
      </c>
      <c r="C220" s="2" t="s">
        <v>127</v>
      </c>
      <c r="D220" s="6" t="s">
        <v>128</v>
      </c>
      <c r="E220" s="6" t="s">
        <v>210</v>
      </c>
      <c r="F220" s="7">
        <v>45995</v>
      </c>
      <c r="G220" s="8">
        <v>6</v>
      </c>
      <c r="H220" s="2" t="s">
        <v>167</v>
      </c>
      <c r="I220" s="9" t="str">
        <f>_xlfn.XLOOKUP(Timeform[[#This Row],[Vaardigheid]],Lijsten!C:C,Lijsten!A:A)</f>
        <v>Realiseren</v>
      </c>
    </row>
    <row r="221" spans="2:9" ht="15">
      <c r="B221" s="2" t="s">
        <v>5</v>
      </c>
      <c r="C221" s="2" t="s">
        <v>127</v>
      </c>
      <c r="D221" s="6" t="s">
        <v>128</v>
      </c>
      <c r="E221" s="6" t="s">
        <v>223</v>
      </c>
      <c r="F221" s="47">
        <v>45995</v>
      </c>
      <c r="G221" s="8">
        <v>2.5</v>
      </c>
      <c r="H221" s="2" t="s">
        <v>167</v>
      </c>
      <c r="I221" s="9" t="str">
        <f>_xlfn.XLOOKUP(Timeform[[#This Row],[Vaardigheid]],Lijsten!C:C,Lijsten!A:A)</f>
        <v>Realiseren</v>
      </c>
    </row>
    <row r="222" spans="2:9" ht="15">
      <c r="B222" s="2" t="s">
        <v>2</v>
      </c>
      <c r="C222" s="2" t="s">
        <v>50</v>
      </c>
      <c r="D222" s="6" t="s">
        <v>171</v>
      </c>
      <c r="E222" s="6" t="s">
        <v>172</v>
      </c>
      <c r="F222" s="7">
        <v>45995</v>
      </c>
      <c r="G222" s="8">
        <v>0.5</v>
      </c>
      <c r="H222" s="2" t="s">
        <v>167</v>
      </c>
      <c r="I222" s="9" t="str">
        <f>_xlfn.XLOOKUP(Timeform[[#This Row],[Vaardigheid]],Lijsten!C:C,Lijsten!A:A)</f>
        <v>Manage &amp; Control</v>
      </c>
    </row>
    <row r="223" spans="2:9" ht="15">
      <c r="B223" s="2" t="s">
        <v>2</v>
      </c>
      <c r="C223" s="2" t="s">
        <v>55</v>
      </c>
      <c r="D223" s="6" t="s">
        <v>74</v>
      </c>
      <c r="E223" s="6" t="s">
        <v>224</v>
      </c>
      <c r="F223" s="7">
        <v>45995</v>
      </c>
      <c r="G223" s="8">
        <v>0.3</v>
      </c>
      <c r="H223" s="2" t="s">
        <v>167</v>
      </c>
      <c r="I223" s="9" t="str">
        <f>_xlfn.XLOOKUP(Timeform[[#This Row],[Vaardigheid]],Lijsten!C:C,Lijsten!A:A)</f>
        <v>Realiseren</v>
      </c>
    </row>
    <row r="224" spans="2:9" ht="29.25">
      <c r="B224" s="2" t="s">
        <v>2</v>
      </c>
      <c r="C224" s="2" t="s">
        <v>77</v>
      </c>
      <c r="D224" s="6" t="s">
        <v>107</v>
      </c>
      <c r="E224" s="6" t="s">
        <v>108</v>
      </c>
      <c r="F224" s="7">
        <v>45995</v>
      </c>
      <c r="G224" s="8">
        <v>0.3</v>
      </c>
      <c r="H224" s="2" t="s">
        <v>167</v>
      </c>
      <c r="I224" s="9" t="str">
        <f>_xlfn.XLOOKUP(Timeform[[#This Row],[Vaardigheid]],Lijsten!C:C,Lijsten!A:A)</f>
        <v>Realiseren</v>
      </c>
    </row>
    <row r="225" spans="2:9" ht="15">
      <c r="B225" s="2" t="s">
        <v>3</v>
      </c>
      <c r="C225" s="2" t="s">
        <v>50</v>
      </c>
      <c r="D225" s="6" t="s">
        <v>171</v>
      </c>
      <c r="E225" s="6" t="s">
        <v>171</v>
      </c>
      <c r="F225" s="7">
        <v>45995</v>
      </c>
      <c r="G225" s="8">
        <v>0.5</v>
      </c>
      <c r="H225" s="2" t="s">
        <v>167</v>
      </c>
      <c r="I225" s="9" t="str">
        <f>_xlfn.XLOOKUP(Timeform[[#This Row],[Vaardigheid]],Lijsten!C:C,Lijsten!A:A)</f>
        <v>Manage &amp; Control</v>
      </c>
    </row>
    <row r="226" spans="2:9" ht="15">
      <c r="B226" s="2" t="s">
        <v>5</v>
      </c>
      <c r="C226" s="2" t="s">
        <v>50</v>
      </c>
      <c r="D226" s="6" t="s">
        <v>171</v>
      </c>
      <c r="E226" s="6" t="s">
        <v>171</v>
      </c>
      <c r="F226" s="7">
        <v>45995</v>
      </c>
      <c r="G226" s="8">
        <v>0.5</v>
      </c>
      <c r="H226" s="2" t="s">
        <v>167</v>
      </c>
      <c r="I226" s="9" t="str">
        <f>_xlfn.XLOOKUP(Timeform[[#This Row],[Vaardigheid]],Lijsten!C:C,Lijsten!A:A)</f>
        <v>Manage &amp; Control</v>
      </c>
    </row>
    <row r="227" spans="2:9" ht="15">
      <c r="B227" s="51" t="s">
        <v>7</v>
      </c>
      <c r="C227" s="51" t="s">
        <v>50</v>
      </c>
      <c r="D227" s="55" t="s">
        <v>171</v>
      </c>
      <c r="E227" s="55" t="s">
        <v>173</v>
      </c>
      <c r="F227" s="118">
        <v>45995</v>
      </c>
      <c r="G227" s="56">
        <v>0.5</v>
      </c>
      <c r="H227" s="51" t="s">
        <v>167</v>
      </c>
      <c r="I227" s="9" t="str">
        <f>_xlfn.XLOOKUP(Timeform[[#This Row],[Vaardigheid]],Lijsten!C:C,Lijsten!A:A)</f>
        <v>Manage &amp; Control</v>
      </c>
    </row>
    <row r="228" spans="2:9" ht="57.75">
      <c r="B228" s="2" t="s">
        <v>3</v>
      </c>
      <c r="C228" s="2" t="s">
        <v>50</v>
      </c>
      <c r="D228" s="6" t="s">
        <v>225</v>
      </c>
      <c r="E228" s="6" t="s">
        <v>226</v>
      </c>
      <c r="F228" s="7">
        <v>45996</v>
      </c>
      <c r="G228" s="8">
        <v>4</v>
      </c>
      <c r="H228" s="2" t="s">
        <v>167</v>
      </c>
      <c r="I228" s="9" t="str">
        <f>_xlfn.XLOOKUP(Timeform[[#This Row],[Vaardigheid]],Lijsten!C:C,Lijsten!A:A)</f>
        <v>Realiseren</v>
      </c>
    </row>
    <row r="229" spans="2:9" ht="29.25">
      <c r="B229" s="2" t="s">
        <v>3</v>
      </c>
      <c r="C229" s="2" t="s">
        <v>50</v>
      </c>
      <c r="D229" s="6" t="s">
        <v>150</v>
      </c>
      <c r="E229" s="6" t="s">
        <v>151</v>
      </c>
      <c r="F229" s="7">
        <v>45996</v>
      </c>
      <c r="G229" s="8">
        <v>2</v>
      </c>
      <c r="H229" s="2" t="s">
        <v>167</v>
      </c>
      <c r="I229" s="9" t="str">
        <f>_xlfn.XLOOKUP(Timeform[[#This Row],[Vaardigheid]],Lijsten!C:C,Lijsten!A:A)</f>
        <v>Realiseren</v>
      </c>
    </row>
    <row r="230" spans="2:9" ht="15">
      <c r="B230" s="2" t="s">
        <v>5</v>
      </c>
      <c r="C230" s="2" t="s">
        <v>127</v>
      </c>
      <c r="D230" s="6" t="s">
        <v>128</v>
      </c>
      <c r="E230" s="6" t="s">
        <v>227</v>
      </c>
      <c r="F230" s="47">
        <v>45996</v>
      </c>
      <c r="G230" s="8">
        <v>3</v>
      </c>
      <c r="H230" s="2" t="s">
        <v>167</v>
      </c>
      <c r="I230" s="9" t="str">
        <f>_xlfn.XLOOKUP(Timeform[[#This Row],[Vaardigheid]],Lijsten!C:C,Lijsten!A:A)</f>
        <v>Realiseren</v>
      </c>
    </row>
    <row r="231" spans="2:9" ht="15">
      <c r="B231" s="2" t="s">
        <v>2</v>
      </c>
      <c r="C231" s="2" t="s">
        <v>50</v>
      </c>
      <c r="D231" s="6" t="s">
        <v>138</v>
      </c>
      <c r="E231" s="6" t="s">
        <v>228</v>
      </c>
      <c r="F231" s="47">
        <v>45996</v>
      </c>
      <c r="G231" s="8">
        <v>1</v>
      </c>
      <c r="H231" s="2" t="s">
        <v>167</v>
      </c>
      <c r="I231" s="9" t="str">
        <f>_xlfn.XLOOKUP(Timeform[[#This Row],[Vaardigheid]],Lijsten!C:C,Lijsten!A:A)</f>
        <v>Adviseren</v>
      </c>
    </row>
    <row r="232" spans="2:9" ht="15">
      <c r="B232" s="2" t="s">
        <v>5</v>
      </c>
      <c r="C232" s="2" t="s">
        <v>77</v>
      </c>
      <c r="D232" s="6" t="s">
        <v>107</v>
      </c>
      <c r="E232" s="6" t="s">
        <v>229</v>
      </c>
      <c r="F232" s="47">
        <v>45996</v>
      </c>
      <c r="G232" s="8">
        <v>0.5</v>
      </c>
      <c r="H232" s="2" t="s">
        <v>167</v>
      </c>
      <c r="I232" s="9" t="str">
        <f>_xlfn.XLOOKUP(Timeform[[#This Row],[Vaardigheid]],Lijsten!C:C,Lijsten!A:A)</f>
        <v>Realiseren</v>
      </c>
    </row>
    <row r="233" spans="2:9" ht="29.25">
      <c r="B233" s="2" t="s">
        <v>5</v>
      </c>
      <c r="C233" s="2" t="s">
        <v>50</v>
      </c>
      <c r="D233" s="6" t="s">
        <v>230</v>
      </c>
      <c r="E233" s="6" t="s">
        <v>231</v>
      </c>
      <c r="F233" s="47">
        <v>45996</v>
      </c>
      <c r="G233" s="8">
        <v>0.5</v>
      </c>
      <c r="H233" s="2" t="s">
        <v>167</v>
      </c>
      <c r="I233" s="9" t="str">
        <f>_xlfn.XLOOKUP(Timeform[[#This Row],[Vaardigheid]],Lijsten!C:C,Lijsten!A:A)</f>
        <v>Realiseren</v>
      </c>
    </row>
    <row r="234" spans="2:9" ht="15">
      <c r="B234" s="2" t="s">
        <v>2</v>
      </c>
      <c r="C234" s="2" t="s">
        <v>50</v>
      </c>
      <c r="D234" s="6" t="s">
        <v>138</v>
      </c>
      <c r="E234" s="6" t="s">
        <v>232</v>
      </c>
      <c r="F234" s="47">
        <v>45996</v>
      </c>
      <c r="G234" s="8">
        <v>0.75</v>
      </c>
      <c r="H234" s="2" t="s">
        <v>167</v>
      </c>
      <c r="I234" s="9" t="str">
        <f>_xlfn.XLOOKUP(Timeform[[#This Row],[Vaardigheid]],Lijsten!C:C,Lijsten!A:A)</f>
        <v>Adviseren</v>
      </c>
    </row>
    <row r="235" spans="2:9" ht="29.25">
      <c r="B235" s="51" t="s">
        <v>3</v>
      </c>
      <c r="C235" s="51" t="s">
        <v>77</v>
      </c>
      <c r="D235" s="55" t="s">
        <v>107</v>
      </c>
      <c r="E235" s="55" t="s">
        <v>233</v>
      </c>
      <c r="F235" s="47">
        <v>45996</v>
      </c>
      <c r="G235" s="56">
        <v>2</v>
      </c>
      <c r="H235" s="2" t="s">
        <v>167</v>
      </c>
      <c r="I235" s="9" t="str">
        <f>_xlfn.XLOOKUP(Timeform[[#This Row],[Vaardigheid]],Lijsten!C:C,Lijsten!A:A)</f>
        <v>Realiseren</v>
      </c>
    </row>
    <row r="236" spans="2:9" ht="15">
      <c r="B236" s="49" t="s">
        <v>2</v>
      </c>
      <c r="C236" s="49" t="s">
        <v>50</v>
      </c>
      <c r="D236" s="53" t="s">
        <v>138</v>
      </c>
      <c r="E236" s="53" t="s">
        <v>234</v>
      </c>
      <c r="F236" s="47">
        <v>45996</v>
      </c>
      <c r="G236" s="8">
        <v>0.75</v>
      </c>
      <c r="H236" s="51" t="s">
        <v>167</v>
      </c>
      <c r="I236" s="9" t="str">
        <f>_xlfn.XLOOKUP(Timeform[[#This Row],[Vaardigheid]],Lijsten!C:C,Lijsten!A:A)</f>
        <v>Adviseren</v>
      </c>
    </row>
    <row r="237" spans="2:9" ht="15">
      <c r="B237" s="2" t="s">
        <v>2</v>
      </c>
      <c r="C237" s="2" t="s">
        <v>50</v>
      </c>
      <c r="D237" s="6" t="s">
        <v>171</v>
      </c>
      <c r="E237" s="6" t="s">
        <v>172</v>
      </c>
      <c r="F237" s="7">
        <v>45996</v>
      </c>
      <c r="G237" s="8">
        <v>0.5</v>
      </c>
      <c r="H237" s="2" t="s">
        <v>167</v>
      </c>
      <c r="I237" s="9" t="str">
        <f>_xlfn.XLOOKUP(Timeform[[#This Row],[Vaardigheid]],Lijsten!C:C,Lijsten!A:A)</f>
        <v>Manage &amp; Control</v>
      </c>
    </row>
    <row r="238" spans="2:9" ht="15">
      <c r="B238" s="2" t="s">
        <v>2</v>
      </c>
      <c r="C238" s="2" t="s">
        <v>55</v>
      </c>
      <c r="D238" s="6" t="s">
        <v>74</v>
      </c>
      <c r="E238" s="6" t="s">
        <v>235</v>
      </c>
      <c r="F238" s="7">
        <v>45996</v>
      </c>
      <c r="G238" s="8">
        <v>0.5</v>
      </c>
      <c r="H238" s="2" t="s">
        <v>167</v>
      </c>
      <c r="I238" s="9" t="str">
        <f>_xlfn.XLOOKUP(Timeform[[#This Row],[Vaardigheid]],Lijsten!C:C,Lijsten!A:A)</f>
        <v>Realiseren</v>
      </c>
    </row>
    <row r="239" spans="2:9" ht="15">
      <c r="B239" s="2" t="s">
        <v>2</v>
      </c>
      <c r="C239" s="2" t="s">
        <v>55</v>
      </c>
      <c r="D239" s="6" t="s">
        <v>100</v>
      </c>
      <c r="E239" s="6" t="s">
        <v>236</v>
      </c>
      <c r="F239" s="7">
        <v>45996</v>
      </c>
      <c r="G239" s="8">
        <v>1</v>
      </c>
      <c r="H239" s="2" t="s">
        <v>167</v>
      </c>
      <c r="I239" s="9" t="str">
        <f>_xlfn.XLOOKUP(Timeform[[#This Row],[Vaardigheid]],Lijsten!C:C,Lijsten!A:A)</f>
        <v>Realiseren</v>
      </c>
    </row>
    <row r="240" spans="2:9" ht="15">
      <c r="B240" s="2" t="s">
        <v>2</v>
      </c>
      <c r="C240" s="2" t="s">
        <v>55</v>
      </c>
      <c r="D240" s="6" t="s">
        <v>74</v>
      </c>
      <c r="E240" s="6" t="s">
        <v>237</v>
      </c>
      <c r="F240" s="7">
        <v>45996</v>
      </c>
      <c r="G240" s="8">
        <v>0.5</v>
      </c>
      <c r="H240" s="2" t="s">
        <v>167</v>
      </c>
      <c r="I240" s="9" t="str">
        <f>_xlfn.XLOOKUP(Timeform[[#This Row],[Vaardigheid]],Lijsten!C:C,Lijsten!A:A)</f>
        <v>Realiseren</v>
      </c>
    </row>
    <row r="241" spans="2:9" ht="29.25">
      <c r="B241" s="2" t="s">
        <v>2</v>
      </c>
      <c r="C241" s="2" t="s">
        <v>77</v>
      </c>
      <c r="D241" s="6" t="s">
        <v>107</v>
      </c>
      <c r="E241" s="6" t="s">
        <v>108</v>
      </c>
      <c r="F241" s="7">
        <v>45996</v>
      </c>
      <c r="G241" s="8">
        <v>0.5</v>
      </c>
      <c r="H241" s="2" t="s">
        <v>167</v>
      </c>
      <c r="I241" s="9" t="str">
        <f>_xlfn.XLOOKUP(Timeform[[#This Row],[Vaardigheid]],Lijsten!C:C,Lijsten!A:A)</f>
        <v>Realiseren</v>
      </c>
    </row>
    <row r="242" spans="2:9" ht="29.25">
      <c r="B242" s="2" t="s">
        <v>2</v>
      </c>
      <c r="C242" s="2" t="s">
        <v>77</v>
      </c>
      <c r="D242" s="6" t="s">
        <v>107</v>
      </c>
      <c r="E242" s="6" t="s">
        <v>108</v>
      </c>
      <c r="F242" s="7">
        <v>45996</v>
      </c>
      <c r="G242" s="8">
        <v>0.5</v>
      </c>
      <c r="H242" s="2" t="s">
        <v>167</v>
      </c>
      <c r="I242" s="9" t="str">
        <f>_xlfn.XLOOKUP(Timeform[[#This Row],[Vaardigheid]],Lijsten!C:C,Lijsten!A:A)</f>
        <v>Realiseren</v>
      </c>
    </row>
    <row r="243" spans="2:9" ht="29.25">
      <c r="B243" s="2" t="s">
        <v>2</v>
      </c>
      <c r="C243" s="2" t="s">
        <v>55</v>
      </c>
      <c r="D243" s="17" t="s">
        <v>109</v>
      </c>
      <c r="E243" s="6" t="s">
        <v>162</v>
      </c>
      <c r="F243" s="7">
        <v>45996</v>
      </c>
      <c r="G243" s="8">
        <v>2.5</v>
      </c>
      <c r="H243" s="2" t="s">
        <v>167</v>
      </c>
      <c r="I243" s="9" t="str">
        <f>_xlfn.XLOOKUP(Timeform[[#This Row],[Vaardigheid]],Lijsten!C:C,Lijsten!A:A)</f>
        <v>Manage &amp; Control</v>
      </c>
    </row>
    <row r="244" spans="2:9" ht="15">
      <c r="B244" s="2" t="s">
        <v>3</v>
      </c>
      <c r="C244" s="2" t="s">
        <v>50</v>
      </c>
      <c r="D244" s="6" t="s">
        <v>171</v>
      </c>
      <c r="E244" s="6" t="s">
        <v>171</v>
      </c>
      <c r="F244" s="7">
        <v>45996</v>
      </c>
      <c r="G244" s="8">
        <v>0.5</v>
      </c>
      <c r="H244" s="2" t="s">
        <v>167</v>
      </c>
      <c r="I244" s="9" t="str">
        <f>_xlfn.XLOOKUP(Timeform[[#This Row],[Vaardigheid]],Lijsten!C:C,Lijsten!A:A)</f>
        <v>Manage &amp; Control</v>
      </c>
    </row>
    <row r="245" spans="2:9" ht="15">
      <c r="B245" s="2" t="s">
        <v>2</v>
      </c>
      <c r="C245" s="2" t="s">
        <v>55</v>
      </c>
      <c r="D245" s="6" t="s">
        <v>83</v>
      </c>
      <c r="E245" s="6" t="s">
        <v>238</v>
      </c>
      <c r="F245" s="7">
        <v>45996</v>
      </c>
      <c r="G245" s="8">
        <v>0.35</v>
      </c>
      <c r="H245" s="2" t="s">
        <v>239</v>
      </c>
      <c r="I245" s="9" t="str">
        <f>_xlfn.XLOOKUP(Timeform[[#This Row],[Vaardigheid]],Lijsten!C:C,Lijsten!A:A)</f>
        <v>Realiseren</v>
      </c>
    </row>
    <row r="246" spans="2:9" ht="15">
      <c r="B246" s="2" t="s">
        <v>5</v>
      </c>
      <c r="C246" s="2" t="s">
        <v>50</v>
      </c>
      <c r="D246" s="6" t="s">
        <v>171</v>
      </c>
      <c r="E246" s="6" t="s">
        <v>171</v>
      </c>
      <c r="F246" s="7">
        <v>45996</v>
      </c>
      <c r="G246" s="8">
        <v>0.5</v>
      </c>
      <c r="H246" s="2" t="s">
        <v>167</v>
      </c>
      <c r="I246" s="9" t="str">
        <f>_xlfn.XLOOKUP(Timeform[[#This Row],[Vaardigheid]],Lijsten!C:C,Lijsten!A:A)</f>
        <v>Manage &amp; Control</v>
      </c>
    </row>
    <row r="247" spans="2:9" ht="15">
      <c r="B247" s="51" t="s">
        <v>7</v>
      </c>
      <c r="C247" s="51" t="s">
        <v>50</v>
      </c>
      <c r="D247" s="55" t="s">
        <v>171</v>
      </c>
      <c r="E247" s="55" t="s">
        <v>173</v>
      </c>
      <c r="F247" s="118">
        <v>45996</v>
      </c>
      <c r="G247" s="56">
        <v>0.5</v>
      </c>
      <c r="H247" s="51" t="s">
        <v>167</v>
      </c>
      <c r="I247" s="9" t="str">
        <f>_xlfn.XLOOKUP(Timeform[[#This Row],[Vaardigheid]],Lijsten!C:C,Lijsten!A:A)</f>
        <v>Manage &amp; Control</v>
      </c>
    </row>
    <row r="248" spans="2:9" ht="15">
      <c r="B248" s="2" t="s">
        <v>3</v>
      </c>
      <c r="C248" s="2" t="s">
        <v>50</v>
      </c>
      <c r="D248" s="6" t="s">
        <v>115</v>
      </c>
      <c r="E248" s="6" t="s">
        <v>240</v>
      </c>
      <c r="F248" s="47">
        <v>45997</v>
      </c>
      <c r="G248" s="8">
        <v>1.5</v>
      </c>
      <c r="H248" s="2" t="s">
        <v>239</v>
      </c>
      <c r="I248" s="9" t="str">
        <f>_xlfn.XLOOKUP(Timeform[[#This Row],[Vaardigheid]],Lijsten!C:C,Lijsten!A:A)</f>
        <v>Adviseren</v>
      </c>
    </row>
    <row r="249" spans="2:9" ht="15">
      <c r="B249" s="2" t="s">
        <v>2</v>
      </c>
      <c r="C249" s="2" t="s">
        <v>50</v>
      </c>
      <c r="D249" s="6" t="s">
        <v>171</v>
      </c>
      <c r="E249" s="6" t="s">
        <v>172</v>
      </c>
      <c r="F249" s="7">
        <v>45997</v>
      </c>
      <c r="G249" s="8">
        <v>0.5</v>
      </c>
      <c r="H249" s="2" t="s">
        <v>239</v>
      </c>
      <c r="I249" s="9" t="str">
        <f>_xlfn.XLOOKUP(Timeform[[#This Row],[Vaardigheid]],Lijsten!C:C,Lijsten!A:A)</f>
        <v>Manage &amp; Control</v>
      </c>
    </row>
    <row r="250" spans="2:9" ht="15">
      <c r="B250" s="39" t="s">
        <v>3</v>
      </c>
      <c r="C250" s="39" t="s">
        <v>50</v>
      </c>
      <c r="D250" s="43" t="s">
        <v>171</v>
      </c>
      <c r="E250" s="43" t="s">
        <v>171</v>
      </c>
      <c r="F250" s="62">
        <v>45997</v>
      </c>
      <c r="G250" s="39">
        <v>0.5</v>
      </c>
      <c r="H250" s="2" t="s">
        <v>239</v>
      </c>
      <c r="I250" s="9" t="str">
        <f>_xlfn.XLOOKUP(Timeform[[#This Row],[Vaardigheid]],Lijsten!C:C,Lijsten!A:A)</f>
        <v>Manage &amp; Control</v>
      </c>
    </row>
    <row r="251" spans="2:9" ht="15">
      <c r="B251" s="91" t="s">
        <v>5</v>
      </c>
      <c r="C251" s="91" t="s">
        <v>50</v>
      </c>
      <c r="D251" s="90" t="s">
        <v>171</v>
      </c>
      <c r="E251" s="90" t="s">
        <v>171</v>
      </c>
      <c r="F251" s="92">
        <v>45997</v>
      </c>
      <c r="G251" s="91">
        <v>0.5</v>
      </c>
      <c r="H251" s="2" t="s">
        <v>239</v>
      </c>
      <c r="I251" s="9" t="str">
        <f>_xlfn.XLOOKUP(Timeform[[#This Row],[Vaardigheid]],Lijsten!C:C,Lijsten!A:A)</f>
        <v>Manage &amp; Control</v>
      </c>
    </row>
    <row r="252" spans="2:9" ht="15">
      <c r="B252" s="51" t="s">
        <v>7</v>
      </c>
      <c r="C252" s="51" t="s">
        <v>50</v>
      </c>
      <c r="D252" s="55" t="s">
        <v>171</v>
      </c>
      <c r="E252" s="55" t="s">
        <v>173</v>
      </c>
      <c r="F252" s="118">
        <v>45997</v>
      </c>
      <c r="G252" s="56">
        <v>0.5</v>
      </c>
      <c r="H252" s="51" t="s">
        <v>239</v>
      </c>
      <c r="I252" s="9" t="str">
        <f>_xlfn.XLOOKUP(Timeform[[#This Row],[Vaardigheid]],Lijsten!C:C,Lijsten!A:A)</f>
        <v>Manage &amp; Control</v>
      </c>
    </row>
    <row r="253" spans="2:9" ht="57.75">
      <c r="B253" s="2" t="s">
        <v>3</v>
      </c>
      <c r="C253" s="2" t="s">
        <v>127</v>
      </c>
      <c r="D253" s="6" t="s">
        <v>141</v>
      </c>
      <c r="E253" s="6" t="s">
        <v>241</v>
      </c>
      <c r="F253" s="47">
        <v>45998</v>
      </c>
      <c r="G253" s="8">
        <v>5</v>
      </c>
      <c r="H253" s="2" t="s">
        <v>239</v>
      </c>
      <c r="I253" s="9" t="str">
        <f>_xlfn.XLOOKUP(Timeform[[#This Row],[Vaardigheid]],Lijsten!C:C,Lijsten!A:A)</f>
        <v>Realiseren</v>
      </c>
    </row>
    <row r="254" spans="2:9" ht="43.5">
      <c r="B254" s="2" t="s">
        <v>2</v>
      </c>
      <c r="C254" s="2" t="s">
        <v>55</v>
      </c>
      <c r="D254" s="6" t="s">
        <v>100</v>
      </c>
      <c r="E254" s="6" t="s">
        <v>242</v>
      </c>
      <c r="F254" s="47">
        <v>45998</v>
      </c>
      <c r="G254" s="8">
        <v>3</v>
      </c>
      <c r="H254" s="2" t="s">
        <v>239</v>
      </c>
      <c r="I254" s="9" t="str">
        <f>_xlfn.XLOOKUP(Timeform[[#This Row],[Vaardigheid]],Lijsten!C:C,Lijsten!A:A)</f>
        <v>Realiseren</v>
      </c>
    </row>
    <row r="255" spans="2:9" ht="15">
      <c r="B255" s="2" t="s">
        <v>2</v>
      </c>
      <c r="C255" s="2" t="s">
        <v>50</v>
      </c>
      <c r="D255" s="6" t="s">
        <v>171</v>
      </c>
      <c r="E255" s="6" t="s">
        <v>172</v>
      </c>
      <c r="F255" s="7">
        <v>45998</v>
      </c>
      <c r="G255" s="8">
        <v>0.5</v>
      </c>
      <c r="H255" s="2" t="s">
        <v>239</v>
      </c>
      <c r="I255" s="9" t="str">
        <f>_xlfn.XLOOKUP(Timeform[[#This Row],[Vaardigheid]],Lijsten!C:C,Lijsten!A:A)</f>
        <v>Manage &amp; Control</v>
      </c>
    </row>
    <row r="256" spans="2:9" ht="15">
      <c r="B256" s="39" t="s">
        <v>3</v>
      </c>
      <c r="C256" s="39" t="s">
        <v>50</v>
      </c>
      <c r="D256" s="43" t="s">
        <v>171</v>
      </c>
      <c r="E256" s="43" t="s">
        <v>171</v>
      </c>
      <c r="F256" s="62">
        <v>45998</v>
      </c>
      <c r="G256" s="39">
        <v>0.5</v>
      </c>
      <c r="H256" s="39" t="s">
        <v>239</v>
      </c>
      <c r="I256" s="9" t="str">
        <f>_xlfn.XLOOKUP(Timeform[[#This Row],[Vaardigheid]],Lijsten!C:C,Lijsten!A:A)</f>
        <v>Manage &amp; Control</v>
      </c>
    </row>
    <row r="257" spans="2:9" ht="29.25">
      <c r="B257" s="2" t="s">
        <v>2</v>
      </c>
      <c r="C257" s="2" t="s">
        <v>50</v>
      </c>
      <c r="D257" s="6" t="s">
        <v>115</v>
      </c>
      <c r="E257" s="6" t="s">
        <v>243</v>
      </c>
      <c r="F257" s="47">
        <v>45998</v>
      </c>
      <c r="G257" s="8">
        <v>1</v>
      </c>
      <c r="H257" s="2" t="s">
        <v>239</v>
      </c>
      <c r="I257" s="9" t="str">
        <f>_xlfn.XLOOKUP(Timeform[[#This Row],[Vaardigheid]],Lijsten!C:C,Lijsten!A:A)</f>
        <v>Adviseren</v>
      </c>
    </row>
    <row r="258" spans="2:9" ht="15">
      <c r="B258" s="91" t="s">
        <v>5</v>
      </c>
      <c r="C258" s="91" t="s">
        <v>50</v>
      </c>
      <c r="D258" s="90" t="s">
        <v>171</v>
      </c>
      <c r="E258" s="90" t="s">
        <v>171</v>
      </c>
      <c r="F258" s="92">
        <v>45998</v>
      </c>
      <c r="G258" s="91">
        <v>0.5</v>
      </c>
      <c r="H258" s="91" t="s">
        <v>239</v>
      </c>
      <c r="I258" s="9" t="str">
        <f>_xlfn.XLOOKUP(Timeform[[#This Row],[Vaardigheid]],Lijsten!C:C,Lijsten!A:A)</f>
        <v>Manage &amp; Control</v>
      </c>
    </row>
    <row r="259" spans="2:9" ht="15">
      <c r="B259" s="51" t="s">
        <v>7</v>
      </c>
      <c r="C259" s="51" t="s">
        <v>50</v>
      </c>
      <c r="D259" s="55" t="s">
        <v>171</v>
      </c>
      <c r="E259" s="55" t="s">
        <v>173</v>
      </c>
      <c r="F259" s="118">
        <v>45998</v>
      </c>
      <c r="G259" s="56">
        <v>0.5</v>
      </c>
      <c r="H259" s="51" t="s">
        <v>239</v>
      </c>
      <c r="I259" s="9" t="str">
        <f>_xlfn.XLOOKUP(Timeform[[#This Row],[Vaardigheid]],Lijsten!C:C,Lijsten!A:A)</f>
        <v>Manage &amp; Control</v>
      </c>
    </row>
    <row r="260" spans="2:9" ht="43.5">
      <c r="B260" s="2" t="s">
        <v>3</v>
      </c>
      <c r="C260" s="2" t="s">
        <v>37</v>
      </c>
      <c r="D260" s="6" t="s">
        <v>62</v>
      </c>
      <c r="E260" s="6" t="s">
        <v>244</v>
      </c>
      <c r="F260" s="47">
        <v>45999</v>
      </c>
      <c r="G260" s="8">
        <v>3</v>
      </c>
      <c r="H260" s="2" t="s">
        <v>239</v>
      </c>
      <c r="I260" s="9" t="str">
        <f>_xlfn.XLOOKUP(Timeform[[#This Row],[Vaardigheid]],Lijsten!C:C,Lijsten!A:A)</f>
        <v>Manage &amp; Control</v>
      </c>
    </row>
    <row r="261" spans="2:9" ht="15">
      <c r="B261" s="2" t="s">
        <v>3</v>
      </c>
      <c r="C261" s="2" t="s">
        <v>127</v>
      </c>
      <c r="D261" s="6" t="s">
        <v>128</v>
      </c>
      <c r="E261" s="6" t="s">
        <v>210</v>
      </c>
      <c r="F261" s="47">
        <v>45999</v>
      </c>
      <c r="G261" s="8">
        <v>3</v>
      </c>
      <c r="H261" s="2" t="s">
        <v>239</v>
      </c>
      <c r="I261" s="9" t="str">
        <f>_xlfn.XLOOKUP(Timeform[[#This Row],[Vaardigheid]],Lijsten!C:C,Lijsten!A:A)</f>
        <v>Realiseren</v>
      </c>
    </row>
    <row r="262" spans="2:9" ht="15">
      <c r="B262" s="2" t="s">
        <v>2</v>
      </c>
      <c r="C262" s="2" t="s">
        <v>50</v>
      </c>
      <c r="D262" s="6" t="s">
        <v>171</v>
      </c>
      <c r="E262" s="6" t="s">
        <v>172</v>
      </c>
      <c r="F262" s="7">
        <v>45999</v>
      </c>
      <c r="G262" s="8">
        <v>0.5</v>
      </c>
      <c r="H262" s="2" t="s">
        <v>239</v>
      </c>
      <c r="I262" s="9" t="str">
        <f>_xlfn.XLOOKUP(Timeform[[#This Row],[Vaardigheid]],Lijsten!C:C,Lijsten!A:A)</f>
        <v>Manage &amp; Control</v>
      </c>
    </row>
    <row r="263" spans="2:9" ht="15">
      <c r="B263" s="60" t="s">
        <v>3</v>
      </c>
      <c r="C263" s="60" t="s">
        <v>50</v>
      </c>
      <c r="D263" s="61" t="s">
        <v>171</v>
      </c>
      <c r="E263" s="61" t="s">
        <v>171</v>
      </c>
      <c r="F263" s="47">
        <v>45999</v>
      </c>
      <c r="G263" s="60">
        <v>0.5</v>
      </c>
      <c r="H263" s="60" t="s">
        <v>239</v>
      </c>
      <c r="I263" s="9" t="str">
        <f>_xlfn.XLOOKUP(Timeform[[#This Row],[Vaardigheid]],Lijsten!C:C,Lijsten!A:A)</f>
        <v>Manage &amp; Control</v>
      </c>
    </row>
    <row r="264" spans="2:9" ht="15">
      <c r="B264" s="2" t="s">
        <v>2</v>
      </c>
      <c r="C264" s="2" t="s">
        <v>50</v>
      </c>
      <c r="D264" s="6" t="s">
        <v>115</v>
      </c>
      <c r="E264" s="6" t="s">
        <v>121</v>
      </c>
      <c r="F264" s="7">
        <v>45999</v>
      </c>
      <c r="G264" s="8">
        <v>1.5</v>
      </c>
      <c r="H264" s="2" t="s">
        <v>239</v>
      </c>
      <c r="I264" s="9" t="str">
        <f>_xlfn.XLOOKUP(Timeform[[#This Row],[Vaardigheid]],Lijsten!C:C,Lijsten!A:A)</f>
        <v>Adviseren</v>
      </c>
    </row>
    <row r="265" spans="2:9" ht="15">
      <c r="B265" s="2" t="s">
        <v>3</v>
      </c>
      <c r="C265" s="2" t="s">
        <v>50</v>
      </c>
      <c r="D265" s="6" t="s">
        <v>115</v>
      </c>
      <c r="E265" s="6" t="s">
        <v>245</v>
      </c>
      <c r="F265" s="47">
        <v>45999</v>
      </c>
      <c r="G265" s="8">
        <v>0.5</v>
      </c>
      <c r="H265" s="2" t="s">
        <v>239</v>
      </c>
      <c r="I265" s="9" t="str">
        <f>_xlfn.XLOOKUP(Timeform[[#This Row],[Vaardigheid]],Lijsten!C:C,Lijsten!A:A)</f>
        <v>Adviseren</v>
      </c>
    </row>
    <row r="266" spans="2:9" ht="15">
      <c r="B266" s="2" t="s">
        <v>2</v>
      </c>
      <c r="C266" s="2" t="s">
        <v>50</v>
      </c>
      <c r="D266" s="6" t="s">
        <v>87</v>
      </c>
      <c r="E266" s="6" t="s">
        <v>123</v>
      </c>
      <c r="F266" s="7">
        <v>45999</v>
      </c>
      <c r="G266" s="8">
        <v>0.25</v>
      </c>
      <c r="H266" s="2" t="s">
        <v>239</v>
      </c>
      <c r="I266" s="9" t="str">
        <f>_xlfn.XLOOKUP(Timeform[[#This Row],[Vaardigheid]],Lijsten!C:C,Lijsten!A:A)</f>
        <v>Adviseren</v>
      </c>
    </row>
    <row r="267" spans="2:9" ht="15">
      <c r="B267" s="2" t="s">
        <v>3</v>
      </c>
      <c r="C267" s="2" t="s">
        <v>50</v>
      </c>
      <c r="D267" s="6" t="s">
        <v>87</v>
      </c>
      <c r="E267" s="6" t="s">
        <v>123</v>
      </c>
      <c r="F267" s="7">
        <v>45999</v>
      </c>
      <c r="G267" s="8">
        <v>0.25</v>
      </c>
      <c r="H267" s="2" t="s">
        <v>239</v>
      </c>
      <c r="I267" s="9" t="str">
        <f>_xlfn.XLOOKUP(Timeform[[#This Row],[Vaardigheid]],Lijsten!C:C,Lijsten!A:A)</f>
        <v>Adviseren</v>
      </c>
    </row>
    <row r="268" spans="2:9" ht="15">
      <c r="B268" s="2" t="s">
        <v>2</v>
      </c>
      <c r="C268" s="2" t="s">
        <v>50</v>
      </c>
      <c r="D268" s="6" t="s">
        <v>89</v>
      </c>
      <c r="E268" s="6" t="s">
        <v>123</v>
      </c>
      <c r="F268" s="7">
        <v>45999</v>
      </c>
      <c r="G268" s="8">
        <v>0.25</v>
      </c>
      <c r="H268" s="2" t="s">
        <v>239</v>
      </c>
      <c r="I268" s="9" t="str">
        <f>_xlfn.XLOOKUP(Timeform[[#This Row],[Vaardigheid]],Lijsten!C:C,Lijsten!A:A)</f>
        <v>Adviseren</v>
      </c>
    </row>
    <row r="269" spans="2:9" ht="15">
      <c r="B269" s="2" t="s">
        <v>3</v>
      </c>
      <c r="C269" s="2" t="s">
        <v>50</v>
      </c>
      <c r="D269" s="44" t="s">
        <v>89</v>
      </c>
      <c r="E269" s="6" t="s">
        <v>123</v>
      </c>
      <c r="F269" s="7">
        <v>45999</v>
      </c>
      <c r="G269" s="8">
        <v>0.25</v>
      </c>
      <c r="H269" s="2" t="s">
        <v>239</v>
      </c>
      <c r="I269" s="9" t="str">
        <f>_xlfn.XLOOKUP(Timeform[[#This Row],[Vaardigheid]],Lijsten!C:C,Lijsten!A:A)</f>
        <v>Adviseren</v>
      </c>
    </row>
    <row r="270" spans="2:9" ht="15">
      <c r="B270" s="2" t="s">
        <v>2</v>
      </c>
      <c r="C270" s="2" t="s">
        <v>55</v>
      </c>
      <c r="D270" s="6" t="s">
        <v>83</v>
      </c>
      <c r="E270" s="6" t="s">
        <v>84</v>
      </c>
      <c r="F270" s="7">
        <v>45999</v>
      </c>
      <c r="G270" s="8">
        <v>0.35</v>
      </c>
      <c r="H270" s="2" t="s">
        <v>239</v>
      </c>
      <c r="I270" s="9" t="str">
        <f>_xlfn.XLOOKUP(Timeform[[#This Row],[Vaardigheid]],Lijsten!C:C,Lijsten!A:A)</f>
        <v>Realiseren</v>
      </c>
    </row>
    <row r="271" spans="2:9" ht="15">
      <c r="B271" s="2" t="s">
        <v>5</v>
      </c>
      <c r="C271" s="2" t="s">
        <v>50</v>
      </c>
      <c r="D271" s="6" t="s">
        <v>115</v>
      </c>
      <c r="E271" s="6" t="s">
        <v>121</v>
      </c>
      <c r="F271" s="7">
        <v>45999</v>
      </c>
      <c r="G271" s="8">
        <v>1.5</v>
      </c>
      <c r="H271" s="2" t="s">
        <v>239</v>
      </c>
      <c r="I271" s="9" t="str">
        <f>_xlfn.XLOOKUP(Timeform[[#This Row],[Vaardigheid]],Lijsten!C:C,Lijsten!A:A)</f>
        <v>Adviseren</v>
      </c>
    </row>
    <row r="272" spans="2:9" ht="15">
      <c r="B272" s="2" t="s">
        <v>5</v>
      </c>
      <c r="C272" s="2" t="s">
        <v>50</v>
      </c>
      <c r="D272" s="6" t="s">
        <v>87</v>
      </c>
      <c r="E272" s="6" t="s">
        <v>123</v>
      </c>
      <c r="F272" s="7">
        <v>45999</v>
      </c>
      <c r="G272" s="8">
        <v>0.25</v>
      </c>
      <c r="H272" s="2" t="s">
        <v>239</v>
      </c>
      <c r="I272" s="9" t="str">
        <f>_xlfn.XLOOKUP(Timeform[[#This Row],[Vaardigheid]],Lijsten!C:C,Lijsten!A:A)</f>
        <v>Adviseren</v>
      </c>
    </row>
    <row r="273" spans="2:9" ht="15">
      <c r="B273" s="2" t="s">
        <v>5</v>
      </c>
      <c r="C273" s="2" t="s">
        <v>50</v>
      </c>
      <c r="D273" s="6" t="s">
        <v>89</v>
      </c>
      <c r="E273" s="6" t="s">
        <v>123</v>
      </c>
      <c r="F273" s="7">
        <v>45999</v>
      </c>
      <c r="G273" s="8">
        <v>0.25</v>
      </c>
      <c r="H273" s="2" t="s">
        <v>239</v>
      </c>
      <c r="I273" s="9" t="str">
        <f>_xlfn.XLOOKUP(Timeform[[#This Row],[Vaardigheid]],Lijsten!C:C,Lijsten!A:A)</f>
        <v>Adviseren</v>
      </c>
    </row>
    <row r="274" spans="2:9" ht="15">
      <c r="B274" s="93" t="s">
        <v>5</v>
      </c>
      <c r="C274" s="93" t="s">
        <v>50</v>
      </c>
      <c r="D274" s="94" t="s">
        <v>171</v>
      </c>
      <c r="E274" s="94" t="s">
        <v>171</v>
      </c>
      <c r="F274" s="47">
        <v>45999</v>
      </c>
      <c r="G274" s="93">
        <v>0.5</v>
      </c>
      <c r="H274" s="93" t="s">
        <v>239</v>
      </c>
      <c r="I274" s="9" t="str">
        <f>_xlfn.XLOOKUP(Timeform[[#This Row],[Vaardigheid]],Lijsten!C:C,Lijsten!A:A)</f>
        <v>Manage &amp; Control</v>
      </c>
    </row>
    <row r="275" spans="2:9" ht="15">
      <c r="B275" s="51" t="s">
        <v>7</v>
      </c>
      <c r="C275" s="51" t="s">
        <v>50</v>
      </c>
      <c r="D275" s="55" t="s">
        <v>171</v>
      </c>
      <c r="E275" s="55" t="s">
        <v>173</v>
      </c>
      <c r="F275" s="118">
        <v>45999</v>
      </c>
      <c r="G275" s="56">
        <v>0.5</v>
      </c>
      <c r="H275" s="51" t="s">
        <v>239</v>
      </c>
      <c r="I275" s="9" t="str">
        <f>_xlfn.XLOOKUP(Timeform[[#This Row],[Vaardigheid]],Lijsten!C:C,Lijsten!A:A)</f>
        <v>Manage &amp; Control</v>
      </c>
    </row>
    <row r="276" spans="2:9" ht="15">
      <c r="B276" s="2" t="s">
        <v>2</v>
      </c>
      <c r="C276" s="2" t="s">
        <v>55</v>
      </c>
      <c r="D276" s="6" t="s">
        <v>67</v>
      </c>
      <c r="E276" s="6" t="s">
        <v>246</v>
      </c>
      <c r="F276" s="47">
        <v>46000</v>
      </c>
      <c r="G276" s="8">
        <v>3</v>
      </c>
      <c r="H276" s="2" t="s">
        <v>239</v>
      </c>
      <c r="I276" s="9" t="str">
        <f>_xlfn.XLOOKUP(Timeform[[#This Row],[Vaardigheid]],Lijsten!C:C,Lijsten!A:A)</f>
        <v>Manage &amp; Control</v>
      </c>
    </row>
    <row r="277" spans="2:9" ht="57.75">
      <c r="B277" s="2" t="s">
        <v>3</v>
      </c>
      <c r="C277" s="2" t="s">
        <v>37</v>
      </c>
      <c r="D277" s="6" t="s">
        <v>48</v>
      </c>
      <c r="E277" s="6" t="s">
        <v>247</v>
      </c>
      <c r="F277" s="47">
        <v>46000</v>
      </c>
      <c r="G277" s="8">
        <v>4</v>
      </c>
      <c r="H277" s="2" t="s">
        <v>239</v>
      </c>
      <c r="I277" s="9" t="str">
        <f>_xlfn.XLOOKUP(Timeform[[#This Row],[Vaardigheid]],Lijsten!C:C,Lijsten!A:A)</f>
        <v>Analyseren</v>
      </c>
    </row>
    <row r="278" spans="2:9" ht="43.5">
      <c r="B278" s="2" t="s">
        <v>2</v>
      </c>
      <c r="C278" s="2" t="s">
        <v>55</v>
      </c>
      <c r="D278" s="6" t="s">
        <v>67</v>
      </c>
      <c r="E278" s="6" t="s">
        <v>248</v>
      </c>
      <c r="F278" s="47">
        <v>46000</v>
      </c>
      <c r="G278" s="8">
        <v>2</v>
      </c>
      <c r="H278" s="2" t="s">
        <v>239</v>
      </c>
      <c r="I278" s="9" t="str">
        <f>_xlfn.XLOOKUP(Timeform[[#This Row],[Vaardigheid]],Lijsten!C:C,Lijsten!A:A)</f>
        <v>Manage &amp; Control</v>
      </c>
    </row>
    <row r="279" spans="2:9" ht="15">
      <c r="B279" s="2" t="s">
        <v>2</v>
      </c>
      <c r="C279" s="2" t="s">
        <v>50</v>
      </c>
      <c r="D279" s="6" t="s">
        <v>138</v>
      </c>
      <c r="E279" s="6" t="s">
        <v>249</v>
      </c>
      <c r="F279" s="47">
        <v>46000</v>
      </c>
      <c r="G279" s="8">
        <v>0.5</v>
      </c>
      <c r="H279" s="2" t="s">
        <v>239</v>
      </c>
      <c r="I279" s="9" t="str">
        <f>_xlfn.XLOOKUP(Timeform[[#This Row],[Vaardigheid]],Lijsten!C:C,Lijsten!A:A)</f>
        <v>Adviseren</v>
      </c>
    </row>
    <row r="280" spans="2:9" ht="57.75">
      <c r="B280" s="2" t="s">
        <v>3</v>
      </c>
      <c r="C280" s="2" t="s">
        <v>127</v>
      </c>
      <c r="D280" s="6" t="s">
        <v>128</v>
      </c>
      <c r="E280" s="6" t="s">
        <v>250</v>
      </c>
      <c r="F280" s="47">
        <v>46000</v>
      </c>
      <c r="G280" s="8">
        <v>4</v>
      </c>
      <c r="H280" s="2" t="s">
        <v>239</v>
      </c>
      <c r="I280" s="9" t="str">
        <f>_xlfn.XLOOKUP(Timeform[[#This Row],[Vaardigheid]],Lijsten!C:C,Lijsten!A:A)</f>
        <v>Realiseren</v>
      </c>
    </row>
    <row r="281" spans="2:9" ht="29.25">
      <c r="B281" s="2" t="s">
        <v>3</v>
      </c>
      <c r="C281" s="2" t="s">
        <v>127</v>
      </c>
      <c r="D281" s="6" t="s">
        <v>141</v>
      </c>
      <c r="E281" s="6" t="s">
        <v>251</v>
      </c>
      <c r="F281" s="47">
        <v>46000</v>
      </c>
      <c r="G281" s="8">
        <v>2</v>
      </c>
      <c r="H281" s="2" t="s">
        <v>239</v>
      </c>
      <c r="I281" s="9" t="str">
        <f>_xlfn.XLOOKUP(Timeform[[#This Row],[Vaardigheid]],Lijsten!C:C,Lijsten!A:A)</f>
        <v>Realiseren</v>
      </c>
    </row>
    <row r="282" spans="2:9" ht="29.25">
      <c r="B282" s="2" t="s">
        <v>3</v>
      </c>
      <c r="C282" s="2" t="s">
        <v>77</v>
      </c>
      <c r="D282" s="6" t="s">
        <v>81</v>
      </c>
      <c r="E282" s="6" t="s">
        <v>252</v>
      </c>
      <c r="F282" s="47">
        <v>46000</v>
      </c>
      <c r="G282" s="8">
        <v>2</v>
      </c>
      <c r="H282" s="2" t="s">
        <v>239</v>
      </c>
      <c r="I282" s="9" t="str">
        <f>_xlfn.XLOOKUP(Timeform[[#This Row],[Vaardigheid]],Lijsten!C:C,Lijsten!A:A)</f>
        <v>Realiseren</v>
      </c>
    </row>
    <row r="283" spans="2:9" ht="15">
      <c r="B283" s="2" t="s">
        <v>2</v>
      </c>
      <c r="C283" s="2" t="s">
        <v>50</v>
      </c>
      <c r="D283" s="6" t="s">
        <v>171</v>
      </c>
      <c r="E283" s="6" t="s">
        <v>172</v>
      </c>
      <c r="F283" s="7">
        <v>46000</v>
      </c>
      <c r="G283" s="8">
        <v>0.5</v>
      </c>
      <c r="H283" s="2" t="s">
        <v>239</v>
      </c>
      <c r="I283" s="9" t="str">
        <f>_xlfn.XLOOKUP(Timeform[[#This Row],[Vaardigheid]],Lijsten!C:C,Lijsten!A:A)</f>
        <v>Manage &amp; Control</v>
      </c>
    </row>
    <row r="284" spans="2:9" ht="15">
      <c r="B284" s="2" t="s">
        <v>3</v>
      </c>
      <c r="C284" s="2" t="s">
        <v>50</v>
      </c>
      <c r="D284" s="6" t="s">
        <v>171</v>
      </c>
      <c r="E284" s="6" t="s">
        <v>171</v>
      </c>
      <c r="F284" s="7">
        <v>46000</v>
      </c>
      <c r="G284" s="8">
        <v>0.5</v>
      </c>
      <c r="H284" s="2" t="s">
        <v>239</v>
      </c>
      <c r="I284" s="9" t="str">
        <f>_xlfn.XLOOKUP(Timeform[[#This Row],[Vaardigheid]],Lijsten!C:C,Lijsten!A:A)</f>
        <v>Manage &amp; Control</v>
      </c>
    </row>
    <row r="285" spans="2:9" ht="29.25">
      <c r="B285" s="2" t="s">
        <v>3</v>
      </c>
      <c r="C285" s="2" t="s">
        <v>55</v>
      </c>
      <c r="D285" s="6" t="s">
        <v>109</v>
      </c>
      <c r="E285" s="6" t="s">
        <v>253</v>
      </c>
      <c r="F285" s="47">
        <v>46000</v>
      </c>
      <c r="G285" s="8">
        <v>1.5</v>
      </c>
      <c r="H285" s="2" t="s">
        <v>239</v>
      </c>
      <c r="I285" s="9" t="str">
        <f>_xlfn.XLOOKUP(Timeform[[#This Row],[Vaardigheid]],Lijsten!C:C,Lijsten!A:A)</f>
        <v>Manage &amp; Control</v>
      </c>
    </row>
    <row r="286" spans="2:9" ht="15">
      <c r="B286" s="2" t="s">
        <v>5</v>
      </c>
      <c r="C286" s="2" t="s">
        <v>50</v>
      </c>
      <c r="D286" s="6" t="s">
        <v>171</v>
      </c>
      <c r="E286" s="6" t="s">
        <v>171</v>
      </c>
      <c r="F286" s="7">
        <v>46000</v>
      </c>
      <c r="G286" s="8">
        <v>0.5</v>
      </c>
      <c r="H286" s="2" t="s">
        <v>239</v>
      </c>
      <c r="I286" s="9" t="str">
        <f>_xlfn.XLOOKUP(Timeform[[#This Row],[Vaardigheid]],Lijsten!C:C,Lijsten!A:A)</f>
        <v>Manage &amp; Control</v>
      </c>
    </row>
    <row r="287" spans="2:9" ht="15">
      <c r="B287" s="59" t="s">
        <v>7</v>
      </c>
      <c r="C287" s="40" t="s">
        <v>37</v>
      </c>
      <c r="D287" s="44" t="s">
        <v>152</v>
      </c>
      <c r="E287" s="44" t="s">
        <v>254</v>
      </c>
      <c r="F287" s="41">
        <v>46000</v>
      </c>
      <c r="G287" s="63">
        <v>0.5</v>
      </c>
      <c r="H287" s="40" t="s">
        <v>239</v>
      </c>
      <c r="I287" s="9" t="str">
        <f>_xlfn.XLOOKUP(Timeform[[#This Row],[Vaardigheid]],Lijsten!C:C,Lijsten!A:A)</f>
        <v>Analyseren</v>
      </c>
    </row>
    <row r="288" spans="2:9" ht="15">
      <c r="B288" s="51" t="s">
        <v>7</v>
      </c>
      <c r="C288" s="51" t="s">
        <v>50</v>
      </c>
      <c r="D288" s="55" t="s">
        <v>171</v>
      </c>
      <c r="E288" s="55" t="s">
        <v>173</v>
      </c>
      <c r="F288" s="123">
        <v>46000</v>
      </c>
      <c r="G288" s="56">
        <v>0.5</v>
      </c>
      <c r="H288" s="51" t="s">
        <v>239</v>
      </c>
      <c r="I288" s="9" t="str">
        <f>_xlfn.XLOOKUP(Timeform[[#This Row],[Vaardigheid]],Lijsten!C:C,Lijsten!A:A)</f>
        <v>Manage &amp; Control</v>
      </c>
    </row>
    <row r="289" spans="2:9" ht="15">
      <c r="B289" s="2" t="s">
        <v>2</v>
      </c>
      <c r="C289" s="2" t="s">
        <v>50</v>
      </c>
      <c r="D289" s="6" t="s">
        <v>171</v>
      </c>
      <c r="E289" s="6" t="s">
        <v>172</v>
      </c>
      <c r="F289" s="7">
        <v>46001</v>
      </c>
      <c r="G289" s="8">
        <v>0.5</v>
      </c>
      <c r="H289" s="2" t="s">
        <v>239</v>
      </c>
      <c r="I289" s="9" t="str">
        <f>_xlfn.XLOOKUP(Timeform[[#This Row],[Vaardigheid]],Lijsten!C:C,Lijsten!A:A)</f>
        <v>Manage &amp; Control</v>
      </c>
    </row>
    <row r="290" spans="2:9" ht="15">
      <c r="B290" s="2" t="s">
        <v>3</v>
      </c>
      <c r="C290" s="40" t="s">
        <v>50</v>
      </c>
      <c r="D290" s="6" t="s">
        <v>171</v>
      </c>
      <c r="E290" s="6" t="s">
        <v>171</v>
      </c>
      <c r="F290" s="7">
        <v>46001</v>
      </c>
      <c r="G290" s="8">
        <v>0.5</v>
      </c>
      <c r="H290" s="2" t="s">
        <v>239</v>
      </c>
      <c r="I290" s="9" t="str">
        <f>_xlfn.XLOOKUP(Timeform[[#This Row],[Vaardigheid]],Lijsten!C:C,Lijsten!A:A)</f>
        <v>Manage &amp; Control</v>
      </c>
    </row>
    <row r="291" spans="2:9" ht="15">
      <c r="B291" s="2" t="s">
        <v>3</v>
      </c>
      <c r="C291" s="40" t="s">
        <v>77</v>
      </c>
      <c r="D291" s="6" t="s">
        <v>255</v>
      </c>
      <c r="E291" s="6" t="s">
        <v>256</v>
      </c>
      <c r="F291" s="7">
        <v>46001</v>
      </c>
      <c r="G291" s="8">
        <v>2</v>
      </c>
      <c r="H291" s="2" t="s">
        <v>239</v>
      </c>
      <c r="I291" s="9" t="str">
        <f>_xlfn.XLOOKUP(Timeform[[#This Row],[Vaardigheid]],Lijsten!C:C,Lijsten!A:A)</f>
        <v>Adviseren</v>
      </c>
    </row>
    <row r="292" spans="2:9" ht="29.25">
      <c r="B292" s="60" t="s">
        <v>5</v>
      </c>
      <c r="C292" s="60" t="s">
        <v>127</v>
      </c>
      <c r="D292" s="61" t="s">
        <v>128</v>
      </c>
      <c r="E292" s="61" t="s">
        <v>257</v>
      </c>
      <c r="F292" s="139">
        <v>46001</v>
      </c>
      <c r="G292" s="60">
        <v>5.5</v>
      </c>
      <c r="H292" s="60" t="s">
        <v>239</v>
      </c>
      <c r="I292" s="9" t="str">
        <f>_xlfn.XLOOKUP(Timeform[[#This Row],[Vaardigheid]],Lijsten!C:C,Lijsten!A:A)</f>
        <v>Realiseren</v>
      </c>
    </row>
    <row r="293" spans="2:9" ht="15">
      <c r="B293" s="50" t="s">
        <v>3</v>
      </c>
      <c r="C293" s="52" t="s">
        <v>37</v>
      </c>
      <c r="D293" s="54" t="s">
        <v>43</v>
      </c>
      <c r="E293" s="54" t="s">
        <v>122</v>
      </c>
      <c r="F293" s="7">
        <v>46001</v>
      </c>
      <c r="G293" s="8">
        <v>0.5</v>
      </c>
      <c r="H293" s="52" t="s">
        <v>239</v>
      </c>
      <c r="I293" s="9" t="str">
        <f>_xlfn.XLOOKUP(Timeform[[#This Row],[Vaardigheid]],Lijsten!C:C,Lijsten!A:A)</f>
        <v>Analyseren</v>
      </c>
    </row>
    <row r="294" spans="2:9" ht="15">
      <c r="B294" s="2" t="s">
        <v>3</v>
      </c>
      <c r="C294" s="2" t="s">
        <v>50</v>
      </c>
      <c r="D294" s="6" t="s">
        <v>230</v>
      </c>
      <c r="E294" s="6" t="s">
        <v>258</v>
      </c>
      <c r="F294" s="7">
        <v>46001</v>
      </c>
      <c r="G294" s="8">
        <v>1.5</v>
      </c>
      <c r="H294" s="2" t="s">
        <v>239</v>
      </c>
      <c r="I294" s="9" t="str">
        <f>_xlfn.XLOOKUP(Timeform[[#This Row],[Vaardigheid]],Lijsten!C:C,Lijsten!A:A)</f>
        <v>Realiseren</v>
      </c>
    </row>
    <row r="295" spans="2:9" ht="15">
      <c r="B295" s="2" t="s">
        <v>7</v>
      </c>
      <c r="C295" s="2" t="s">
        <v>50</v>
      </c>
      <c r="D295" s="6" t="s">
        <v>230</v>
      </c>
      <c r="E295" s="6" t="s">
        <v>259</v>
      </c>
      <c r="F295" s="7">
        <v>46001</v>
      </c>
      <c r="G295" s="8">
        <v>2</v>
      </c>
      <c r="H295" s="2" t="s">
        <v>239</v>
      </c>
      <c r="I295" s="9" t="str">
        <f>_xlfn.XLOOKUP(Timeform[[#This Row],[Vaardigheid]],Lijsten!C:C,Lijsten!A:A)</f>
        <v>Realiseren</v>
      </c>
    </row>
    <row r="296" spans="2:9" ht="15">
      <c r="B296" s="2" t="s">
        <v>5</v>
      </c>
      <c r="C296" s="2" t="s">
        <v>50</v>
      </c>
      <c r="D296" s="6" t="s">
        <v>171</v>
      </c>
      <c r="E296" s="6" t="s">
        <v>171</v>
      </c>
      <c r="F296" s="7">
        <v>46001</v>
      </c>
      <c r="G296" s="8">
        <v>0.5</v>
      </c>
      <c r="H296" s="2" t="s">
        <v>239</v>
      </c>
      <c r="I296" s="9" t="str">
        <f>_xlfn.XLOOKUP(Timeform[[#This Row],[Vaardigheid]],Lijsten!C:C,Lijsten!A:A)</f>
        <v>Manage &amp; Control</v>
      </c>
    </row>
    <row r="297" spans="2:9" ht="15">
      <c r="B297" s="2" t="s">
        <v>5</v>
      </c>
      <c r="C297" s="2" t="s">
        <v>37</v>
      </c>
      <c r="D297" s="6" t="s">
        <v>43</v>
      </c>
      <c r="E297" s="6" t="s">
        <v>122</v>
      </c>
      <c r="F297" s="7">
        <v>46001</v>
      </c>
      <c r="G297" s="8">
        <v>0.5</v>
      </c>
      <c r="H297" s="2" t="s">
        <v>239</v>
      </c>
      <c r="I297" s="9" t="str">
        <f>_xlfn.XLOOKUP(Timeform[[#This Row],[Vaardigheid]],Lijsten!C:C,Lijsten!A:A)</f>
        <v>Analyseren</v>
      </c>
    </row>
    <row r="298" spans="2:9" ht="15">
      <c r="B298" s="2" t="s">
        <v>7</v>
      </c>
      <c r="C298" s="2" t="s">
        <v>50</v>
      </c>
      <c r="D298" t="s">
        <v>260</v>
      </c>
      <c r="E298" s="6" t="s">
        <v>261</v>
      </c>
      <c r="F298" s="7">
        <v>46001</v>
      </c>
      <c r="G298" s="8">
        <v>0.75</v>
      </c>
      <c r="H298" s="2" t="s">
        <v>239</v>
      </c>
      <c r="I298" s="9" t="str">
        <f>_xlfn.XLOOKUP(Timeform[[#This Row],[Vaardigheid]],Lijsten!C:C,Lijsten!A:A)</f>
        <v>Analyseren</v>
      </c>
    </row>
    <row r="299" spans="2:9" ht="29.25">
      <c r="B299" s="2" t="s">
        <v>7</v>
      </c>
      <c r="C299" s="2" t="s">
        <v>37</v>
      </c>
      <c r="D299" s="6" t="s">
        <v>46</v>
      </c>
      <c r="E299" s="6" t="s">
        <v>262</v>
      </c>
      <c r="F299" s="7">
        <v>46001</v>
      </c>
      <c r="G299" s="8">
        <v>0.5</v>
      </c>
      <c r="H299" s="2" t="s">
        <v>239</v>
      </c>
      <c r="I299" s="9" t="str">
        <f>_xlfn.XLOOKUP(Timeform[[#This Row],[Vaardigheid]],Lijsten!C:C,Lijsten!A:A)</f>
        <v>Analyseren</v>
      </c>
    </row>
    <row r="300" spans="2:9" ht="15">
      <c r="B300" s="51" t="s">
        <v>7</v>
      </c>
      <c r="C300" s="51" t="s">
        <v>50</v>
      </c>
      <c r="D300" s="55" t="s">
        <v>171</v>
      </c>
      <c r="E300" s="55" t="s">
        <v>173</v>
      </c>
      <c r="F300" s="118">
        <v>46001</v>
      </c>
      <c r="G300" s="56">
        <v>0.5</v>
      </c>
      <c r="H300" s="51" t="s">
        <v>239</v>
      </c>
      <c r="I300" s="9" t="str">
        <f>_xlfn.XLOOKUP(Timeform[[#This Row],[Vaardigheid]],Lijsten!C:C,Lijsten!A:A)</f>
        <v>Manage &amp; Control</v>
      </c>
    </row>
    <row r="301" spans="2:9" ht="15">
      <c r="B301" s="39" t="s">
        <v>2</v>
      </c>
      <c r="C301" s="39" t="s">
        <v>50</v>
      </c>
      <c r="D301" s="43" t="s">
        <v>171</v>
      </c>
      <c r="E301" s="6" t="s">
        <v>172</v>
      </c>
      <c r="F301" s="62">
        <v>46002</v>
      </c>
      <c r="G301" s="39">
        <v>0.5</v>
      </c>
      <c r="H301" s="39" t="s">
        <v>239</v>
      </c>
      <c r="I301" s="9" t="str">
        <f>_xlfn.XLOOKUP(Timeform[[#This Row],[Vaardigheid]],Lijsten!C:C,Lijsten!A:A)</f>
        <v>Manage &amp; Control</v>
      </c>
    </row>
    <row r="302" spans="2:9" ht="29.25">
      <c r="B302" s="60" t="s">
        <v>2</v>
      </c>
      <c r="C302" s="60" t="s">
        <v>77</v>
      </c>
      <c r="D302" s="61" t="s">
        <v>263</v>
      </c>
      <c r="E302" s="61" t="s">
        <v>264</v>
      </c>
      <c r="F302" s="64">
        <v>46002</v>
      </c>
      <c r="G302" s="60">
        <v>2.5</v>
      </c>
      <c r="H302" s="60" t="s">
        <v>239</v>
      </c>
      <c r="I302" s="9" t="str">
        <f>_xlfn.XLOOKUP(Timeform[[#This Row],[Vaardigheid]],Lijsten!C:C,Lijsten!A:A)</f>
        <v>Ontwerpen</v>
      </c>
    </row>
    <row r="303" spans="2:9" ht="29.25">
      <c r="B303" s="2" t="s">
        <v>2</v>
      </c>
      <c r="C303" s="39" t="s">
        <v>64</v>
      </c>
      <c r="D303" s="43" t="s">
        <v>134</v>
      </c>
      <c r="E303" s="43" t="s">
        <v>265</v>
      </c>
      <c r="F303" s="62">
        <v>46002</v>
      </c>
      <c r="G303" s="39">
        <v>3</v>
      </c>
      <c r="H303" s="39" t="s">
        <v>239</v>
      </c>
      <c r="I303" s="9" t="str">
        <f>_xlfn.XLOOKUP(Timeform[[#This Row],[Vaardigheid]],Lijsten!C:C,Lijsten!A:A)</f>
        <v>Ontwerpen</v>
      </c>
    </row>
    <row r="304" spans="2:9" ht="15">
      <c r="B304" s="2" t="s">
        <v>5</v>
      </c>
      <c r="C304" s="2" t="s">
        <v>127</v>
      </c>
      <c r="D304" s="6" t="s">
        <v>128</v>
      </c>
      <c r="E304" s="6" t="s">
        <v>266</v>
      </c>
      <c r="F304" s="47">
        <v>46002</v>
      </c>
      <c r="G304" s="8">
        <v>2.5</v>
      </c>
      <c r="H304" s="2" t="s">
        <v>239</v>
      </c>
      <c r="I304" s="9" t="str">
        <f>_xlfn.XLOOKUP(Timeform[[#This Row],[Vaardigheid]],Lijsten!C:C,Lijsten!A:A)</f>
        <v>Realiseren</v>
      </c>
    </row>
    <row r="305" spans="2:9" ht="15">
      <c r="B305" s="2" t="s">
        <v>3</v>
      </c>
      <c r="C305" s="39" t="s">
        <v>50</v>
      </c>
      <c r="D305" s="43" t="s">
        <v>171</v>
      </c>
      <c r="E305" s="6" t="s">
        <v>171</v>
      </c>
      <c r="F305" s="62">
        <v>46002</v>
      </c>
      <c r="G305" s="39">
        <v>0.5</v>
      </c>
      <c r="H305" s="39" t="s">
        <v>239</v>
      </c>
      <c r="I305" s="9" t="str">
        <f>_xlfn.XLOOKUP(Timeform[[#This Row],[Vaardigheid]],Lijsten!C:C,Lijsten!A:A)</f>
        <v>Manage &amp; Control</v>
      </c>
    </row>
    <row r="306" spans="2:9" ht="29.25">
      <c r="B306" s="2" t="s">
        <v>3</v>
      </c>
      <c r="C306" s="2" t="s">
        <v>50</v>
      </c>
      <c r="D306" s="6" t="s">
        <v>138</v>
      </c>
      <c r="E306" s="44" t="s">
        <v>267</v>
      </c>
      <c r="F306" s="47">
        <v>46002</v>
      </c>
      <c r="G306" s="8">
        <v>0.2</v>
      </c>
      <c r="H306" s="2" t="s">
        <v>239</v>
      </c>
      <c r="I306" s="9" t="str">
        <f>_xlfn.XLOOKUP(Timeform[[#This Row],[Vaardigheid]],Lijsten!C:C,Lijsten!A:A)</f>
        <v>Adviseren</v>
      </c>
    </row>
    <row r="307" spans="2:9" ht="15">
      <c r="B307" s="2" t="s">
        <v>7</v>
      </c>
      <c r="C307" s="2" t="s">
        <v>50</v>
      </c>
      <c r="D307" s="6" t="s">
        <v>171</v>
      </c>
      <c r="E307" s="6" t="s">
        <v>171</v>
      </c>
      <c r="F307" s="7">
        <v>46002</v>
      </c>
      <c r="G307" s="8">
        <v>0.5</v>
      </c>
      <c r="H307" s="2" t="s">
        <v>239</v>
      </c>
      <c r="I307" s="9" t="str">
        <f>_xlfn.XLOOKUP(Timeform[[#This Row],[Vaardigheid]],Lijsten!C:C,Lijsten!A:A)</f>
        <v>Manage &amp; Control</v>
      </c>
    </row>
    <row r="308" spans="2:9" ht="15">
      <c r="B308" s="2" t="s">
        <v>2</v>
      </c>
      <c r="C308" s="2" t="s">
        <v>55</v>
      </c>
      <c r="D308" s="6" t="s">
        <v>83</v>
      </c>
      <c r="E308" s="6" t="s">
        <v>238</v>
      </c>
      <c r="F308" s="7">
        <v>46002</v>
      </c>
      <c r="G308" s="8">
        <v>0.35</v>
      </c>
      <c r="H308" s="2" t="s">
        <v>239</v>
      </c>
      <c r="I308" s="9" t="str">
        <f>_xlfn.XLOOKUP(Timeform[[#This Row],[Vaardigheid]],Lijsten!C:C,Lijsten!A:A)</f>
        <v>Realiseren</v>
      </c>
    </row>
    <row r="309" spans="2:9" ht="15">
      <c r="B309" s="2" t="s">
        <v>7</v>
      </c>
      <c r="C309" s="2" t="s">
        <v>127</v>
      </c>
      <c r="D309" s="6" t="s">
        <v>128</v>
      </c>
      <c r="E309" s="6" t="s">
        <v>268</v>
      </c>
      <c r="F309" s="7">
        <v>46002</v>
      </c>
      <c r="G309" s="8">
        <v>4</v>
      </c>
      <c r="H309" s="2" t="s">
        <v>239</v>
      </c>
      <c r="I309" s="9" t="str">
        <f>_xlfn.XLOOKUP(Timeform[[#This Row],[Vaardigheid]],Lijsten!C:C,Lijsten!A:A)</f>
        <v>Realiseren</v>
      </c>
    </row>
    <row r="310" spans="2:9" ht="15">
      <c r="B310" s="2" t="s">
        <v>2</v>
      </c>
      <c r="C310" s="39" t="s">
        <v>50</v>
      </c>
      <c r="D310" s="43" t="s">
        <v>171</v>
      </c>
      <c r="E310" s="6" t="s">
        <v>172</v>
      </c>
      <c r="F310" s="62">
        <v>46003</v>
      </c>
      <c r="G310" s="8">
        <v>0.75</v>
      </c>
      <c r="H310" s="39" t="s">
        <v>239</v>
      </c>
      <c r="I310" s="9" t="str">
        <f>_xlfn.XLOOKUP(Timeform[[#This Row],[Vaardigheid]],Lijsten!C:C,Lijsten!A:A)</f>
        <v>Manage &amp; Control</v>
      </c>
    </row>
    <row r="311" spans="2:9" ht="15">
      <c r="B311" s="2" t="s">
        <v>5</v>
      </c>
      <c r="C311" s="2" t="s">
        <v>50</v>
      </c>
      <c r="D311" s="6" t="s">
        <v>171</v>
      </c>
      <c r="E311" s="6" t="s">
        <v>171</v>
      </c>
      <c r="F311" s="47">
        <v>46003</v>
      </c>
      <c r="G311" s="8">
        <v>0.75</v>
      </c>
      <c r="H311" s="2" t="s">
        <v>239</v>
      </c>
      <c r="I311" s="9" t="str">
        <f>_xlfn.XLOOKUP(Timeform[[#This Row],[Vaardigheid]],Lijsten!C:C,Lijsten!A:A)</f>
        <v>Manage &amp; Control</v>
      </c>
    </row>
    <row r="312" spans="2:9" ht="15">
      <c r="B312" s="2" t="s">
        <v>7</v>
      </c>
      <c r="C312" s="39" t="s">
        <v>50</v>
      </c>
      <c r="D312" s="43" t="s">
        <v>171</v>
      </c>
      <c r="E312" s="6" t="s">
        <v>171</v>
      </c>
      <c r="F312" s="62">
        <v>46003</v>
      </c>
      <c r="G312" s="8">
        <v>0.75</v>
      </c>
      <c r="H312" s="39" t="s">
        <v>239</v>
      </c>
      <c r="I312" s="9" t="str">
        <f>_xlfn.XLOOKUP(Timeform[[#This Row],[Vaardigheid]],Lijsten!C:C,Lijsten!A:A)</f>
        <v>Manage &amp; Control</v>
      </c>
    </row>
    <row r="313" spans="2:9" ht="15">
      <c r="B313" s="2" t="s">
        <v>3</v>
      </c>
      <c r="C313" s="2" t="s">
        <v>50</v>
      </c>
      <c r="D313" s="6" t="s">
        <v>171</v>
      </c>
      <c r="E313" s="6" t="s">
        <v>171</v>
      </c>
      <c r="F313" s="47">
        <v>46003</v>
      </c>
      <c r="G313" s="8">
        <v>0.75</v>
      </c>
      <c r="H313" s="2" t="s">
        <v>239</v>
      </c>
      <c r="I313" s="9" t="str">
        <f>_xlfn.XLOOKUP(Timeform[[#This Row],[Vaardigheid]],Lijsten!C:C,Lijsten!A:A)</f>
        <v>Manage &amp; Control</v>
      </c>
    </row>
    <row r="314" spans="2:9" ht="29.25">
      <c r="B314" s="2" t="s">
        <v>2</v>
      </c>
      <c r="C314" s="39" t="s">
        <v>64</v>
      </c>
      <c r="D314" s="43" t="s">
        <v>134</v>
      </c>
      <c r="E314" s="43" t="s">
        <v>269</v>
      </c>
      <c r="F314" s="62">
        <v>46003</v>
      </c>
      <c r="G314" s="39">
        <v>2.75</v>
      </c>
      <c r="H314" s="39" t="s">
        <v>239</v>
      </c>
      <c r="I314" s="9" t="str">
        <f>_xlfn.XLOOKUP(Timeform[[#This Row],[Vaardigheid]],Lijsten!C:C,Lijsten!A:A)</f>
        <v>Ontwerpen</v>
      </c>
    </row>
    <row r="315" spans="2:9" ht="15">
      <c r="B315" s="2" t="s">
        <v>2</v>
      </c>
      <c r="C315" s="2" t="s">
        <v>77</v>
      </c>
      <c r="D315" s="80" t="s">
        <v>107</v>
      </c>
      <c r="E315" s="80" t="s">
        <v>270</v>
      </c>
      <c r="F315" s="47">
        <v>46003</v>
      </c>
      <c r="G315" s="79">
        <v>0.75</v>
      </c>
      <c r="H315" s="2" t="s">
        <v>239</v>
      </c>
      <c r="I315" s="9" t="str">
        <f>_xlfn.XLOOKUP(Timeform[[#This Row],[Vaardigheid]],Lijsten!C:C,Lijsten!A:A)</f>
        <v>Realiseren</v>
      </c>
    </row>
    <row r="316" spans="2:9" ht="15">
      <c r="B316" s="2" t="s">
        <v>2</v>
      </c>
      <c r="C316" s="2" t="s">
        <v>50</v>
      </c>
      <c r="D316" s="6" t="s">
        <v>97</v>
      </c>
      <c r="E316" s="6" t="s">
        <v>271</v>
      </c>
      <c r="F316" s="62">
        <v>46003</v>
      </c>
      <c r="G316" s="8">
        <v>0.15</v>
      </c>
      <c r="H316" s="39" t="s">
        <v>239</v>
      </c>
      <c r="I316" s="9" t="str">
        <f>_xlfn.XLOOKUP(Timeform[[#This Row],[Vaardigheid]],Lijsten!C:C,Lijsten!A:A)</f>
        <v>Analyseren</v>
      </c>
    </row>
    <row r="317" spans="2:9" ht="15">
      <c r="B317" s="2" t="s">
        <v>3</v>
      </c>
      <c r="C317" s="2" t="s">
        <v>77</v>
      </c>
      <c r="D317" s="6" t="s">
        <v>107</v>
      </c>
      <c r="E317" s="6" t="s">
        <v>272</v>
      </c>
      <c r="F317" s="7">
        <v>46003</v>
      </c>
      <c r="G317" s="8">
        <v>0.25</v>
      </c>
      <c r="H317" s="2" t="s">
        <v>239</v>
      </c>
      <c r="I317" s="9" t="str">
        <f>_xlfn.XLOOKUP(Timeform[[#This Row],[Vaardigheid]],Lijsten!C:C,Lijsten!A:A)</f>
        <v>Realiseren</v>
      </c>
    </row>
    <row r="318" spans="2:9" ht="29.25">
      <c r="B318" s="2" t="s">
        <v>3</v>
      </c>
      <c r="C318" s="81" t="s">
        <v>55</v>
      </c>
      <c r="D318" s="82" t="s">
        <v>158</v>
      </c>
      <c r="E318" s="6" t="s">
        <v>273</v>
      </c>
      <c r="F318" s="7">
        <v>46003</v>
      </c>
      <c r="G318" s="8">
        <v>0.25</v>
      </c>
      <c r="H318" s="2" t="s">
        <v>239</v>
      </c>
      <c r="I318" s="9" t="str">
        <f>_xlfn.XLOOKUP(Timeform[[#This Row],[Vaardigheid]],Lijsten!C:C,Lijsten!A:A)</f>
        <v>Realiseren</v>
      </c>
    </row>
    <row r="319" spans="2:9" ht="15">
      <c r="B319" s="2" t="s">
        <v>7</v>
      </c>
      <c r="C319" s="2" t="s">
        <v>64</v>
      </c>
      <c r="D319" s="6" t="s">
        <v>65</v>
      </c>
      <c r="E319" s="6" t="s">
        <v>274</v>
      </c>
      <c r="F319" s="7">
        <v>46003</v>
      </c>
      <c r="G319" s="8">
        <v>4</v>
      </c>
      <c r="H319" s="2" t="s">
        <v>239</v>
      </c>
      <c r="I319" s="9" t="str">
        <f>_xlfn.XLOOKUP(Timeform[[#This Row],[Vaardigheid]],Lijsten!C:C,Lijsten!A:A)</f>
        <v>Ontwerpen</v>
      </c>
    </row>
    <row r="320" spans="2:9" ht="15">
      <c r="B320" s="111" t="s">
        <v>7</v>
      </c>
      <c r="C320" s="111" t="s">
        <v>50</v>
      </c>
      <c r="D320" s="116" t="s">
        <v>60</v>
      </c>
      <c r="E320" s="116" t="s">
        <v>60</v>
      </c>
      <c r="F320" s="122">
        <v>46003</v>
      </c>
      <c r="G320" s="125">
        <v>0.5</v>
      </c>
      <c r="H320" s="111" t="s">
        <v>239</v>
      </c>
      <c r="I320" s="9" t="str">
        <f>_xlfn.XLOOKUP(Timeform[[#This Row],[Vaardigheid]],Lijsten!C:C,Lijsten!A:A)</f>
        <v>Realiseren</v>
      </c>
    </row>
    <row r="321" spans="2:9" ht="15">
      <c r="B321" s="2" t="s">
        <v>2</v>
      </c>
      <c r="C321" s="2" t="s">
        <v>50</v>
      </c>
      <c r="D321" s="6" t="s">
        <v>171</v>
      </c>
      <c r="E321" s="6" t="s">
        <v>171</v>
      </c>
      <c r="F321" s="47">
        <v>46004</v>
      </c>
      <c r="G321" s="8">
        <v>0.4</v>
      </c>
      <c r="H321" s="2" t="s">
        <v>239</v>
      </c>
      <c r="I321" s="9" t="str">
        <f>_xlfn.XLOOKUP(Timeform[[#This Row],[Vaardigheid]],Lijsten!C:C,Lijsten!A:A)</f>
        <v>Manage &amp; Control</v>
      </c>
    </row>
    <row r="322" spans="2:9" ht="15">
      <c r="B322" s="2" t="s">
        <v>3</v>
      </c>
      <c r="C322" s="2" t="s">
        <v>50</v>
      </c>
      <c r="D322" s="6" t="s">
        <v>171</v>
      </c>
      <c r="E322" s="6" t="s">
        <v>171</v>
      </c>
      <c r="F322" s="47">
        <v>46004</v>
      </c>
      <c r="G322" s="8">
        <v>0.4</v>
      </c>
      <c r="H322" s="2" t="s">
        <v>239</v>
      </c>
      <c r="I322" s="9" t="str">
        <f>_xlfn.XLOOKUP(Timeform[[#This Row],[Vaardigheid]],Lijsten!C:C,Lijsten!A:A)</f>
        <v>Manage &amp; Control</v>
      </c>
    </row>
    <row r="323" spans="2:9" ht="15">
      <c r="B323" s="2" t="s">
        <v>2</v>
      </c>
      <c r="C323" s="2" t="s">
        <v>64</v>
      </c>
      <c r="D323" s="6" t="s">
        <v>134</v>
      </c>
      <c r="E323" s="6" t="s">
        <v>275</v>
      </c>
      <c r="F323" s="7">
        <v>46004</v>
      </c>
      <c r="G323" s="79">
        <v>0.25</v>
      </c>
      <c r="H323" s="2" t="s">
        <v>239</v>
      </c>
      <c r="I323" s="9" t="str">
        <f>_xlfn.XLOOKUP(Timeform[[#This Row],[Vaardigheid]],Lijsten!C:C,Lijsten!A:A)</f>
        <v>Ontwerpen</v>
      </c>
    </row>
    <row r="324" spans="2:9" ht="15">
      <c r="B324" s="2" t="s">
        <v>2</v>
      </c>
      <c r="C324" s="2" t="s">
        <v>55</v>
      </c>
      <c r="D324" s="6" t="s">
        <v>158</v>
      </c>
      <c r="E324" s="6" t="s">
        <v>276</v>
      </c>
      <c r="F324" s="47">
        <v>46004</v>
      </c>
      <c r="G324" s="8">
        <v>0.35</v>
      </c>
      <c r="H324" s="2" t="s">
        <v>239</v>
      </c>
      <c r="I324" s="9" t="str">
        <f>_xlfn.XLOOKUP(Timeform[[#This Row],[Vaardigheid]],Lijsten!C:C,Lijsten!A:A)</f>
        <v>Realiseren</v>
      </c>
    </row>
    <row r="325" spans="2:9" ht="15">
      <c r="B325" s="2" t="s">
        <v>2</v>
      </c>
      <c r="C325" s="2" t="s">
        <v>77</v>
      </c>
      <c r="D325" s="6" t="s">
        <v>107</v>
      </c>
      <c r="E325" s="6" t="s">
        <v>277</v>
      </c>
      <c r="F325" s="7">
        <v>46004</v>
      </c>
      <c r="G325" s="79">
        <v>0.35</v>
      </c>
      <c r="H325" s="2" t="s">
        <v>239</v>
      </c>
      <c r="I325" s="9" t="str">
        <f>_xlfn.XLOOKUP(Timeform[[#This Row],[Vaardigheid]],Lijsten!C:C,Lijsten!A:A)</f>
        <v>Realiseren</v>
      </c>
    </row>
    <row r="326" spans="2:9" ht="15">
      <c r="B326" s="2" t="s">
        <v>2</v>
      </c>
      <c r="C326" s="2" t="s">
        <v>77</v>
      </c>
      <c r="D326" s="6" t="s">
        <v>78</v>
      </c>
      <c r="E326" s="6" t="s">
        <v>80</v>
      </c>
      <c r="F326" s="7">
        <v>46004</v>
      </c>
      <c r="G326" s="8">
        <v>0.75</v>
      </c>
      <c r="H326" s="2" t="s">
        <v>239</v>
      </c>
      <c r="I326" s="9" t="str">
        <f>_xlfn.XLOOKUP(Timeform[[#This Row],[Vaardigheid]],Lijsten!C:C,Lijsten!A:A)</f>
        <v>Ontwerpen</v>
      </c>
    </row>
    <row r="327" spans="2:9" ht="15">
      <c r="B327" s="2" t="s">
        <v>2</v>
      </c>
      <c r="C327" s="2" t="s">
        <v>127</v>
      </c>
      <c r="D327" s="6" t="s">
        <v>128</v>
      </c>
      <c r="E327" s="6" t="s">
        <v>278</v>
      </c>
      <c r="F327" s="7">
        <v>46004</v>
      </c>
      <c r="G327" s="8">
        <v>2</v>
      </c>
      <c r="H327" s="2" t="s">
        <v>239</v>
      </c>
      <c r="I327" s="9" t="str">
        <f>_xlfn.XLOOKUP(Timeform[[#This Row],[Vaardigheid]],Lijsten!C:C,Lijsten!A:A)</f>
        <v>Realiseren</v>
      </c>
    </row>
    <row r="328" spans="2:9" ht="15">
      <c r="B328" s="2" t="s">
        <v>2</v>
      </c>
      <c r="C328" s="2" t="s">
        <v>77</v>
      </c>
      <c r="D328" s="6" t="s">
        <v>279</v>
      </c>
      <c r="E328" s="6" t="s">
        <v>280</v>
      </c>
      <c r="F328" s="7">
        <v>46004</v>
      </c>
      <c r="G328" s="8">
        <v>0.5</v>
      </c>
      <c r="H328" s="2" t="s">
        <v>239</v>
      </c>
      <c r="I328" s="9" t="str">
        <f>_xlfn.XLOOKUP(Timeform[[#This Row],[Vaardigheid]],Lijsten!C:C,Lijsten!A:A)</f>
        <v>Realiseren</v>
      </c>
    </row>
    <row r="329" spans="2:9" ht="15">
      <c r="B329" s="2" t="s">
        <v>2</v>
      </c>
      <c r="C329" s="2" t="s">
        <v>55</v>
      </c>
      <c r="D329" s="6" t="s">
        <v>281</v>
      </c>
      <c r="E329" s="6" t="s">
        <v>282</v>
      </c>
      <c r="F329" s="7">
        <v>46004</v>
      </c>
      <c r="G329" s="8">
        <v>1.5</v>
      </c>
      <c r="H329" s="2" t="s">
        <v>239</v>
      </c>
      <c r="I329" s="9" t="str">
        <f>_xlfn.XLOOKUP(Timeform[[#This Row],[Vaardigheid]],Lijsten!C:C,Lijsten!A:A)</f>
        <v>Manage &amp; Control</v>
      </c>
    </row>
    <row r="330" spans="2:9" ht="15">
      <c r="B330" s="2" t="s">
        <v>5</v>
      </c>
      <c r="C330" s="2" t="s">
        <v>127</v>
      </c>
      <c r="D330" s="6" t="s">
        <v>128</v>
      </c>
      <c r="E330" s="6" t="s">
        <v>283</v>
      </c>
      <c r="F330" s="7">
        <v>46004</v>
      </c>
      <c r="G330" s="8">
        <v>5.5</v>
      </c>
      <c r="H330" s="2" t="s">
        <v>239</v>
      </c>
      <c r="I330" s="9" t="str">
        <f>_xlfn.XLOOKUP(Timeform[[#This Row],[Vaardigheid]],Lijsten!C:C,Lijsten!A:A)</f>
        <v>Realiseren</v>
      </c>
    </row>
    <row r="331" spans="2:9" ht="15">
      <c r="B331" s="2" t="s">
        <v>7</v>
      </c>
      <c r="C331" s="2" t="s">
        <v>50</v>
      </c>
      <c r="D331" s="6" t="s">
        <v>171</v>
      </c>
      <c r="E331" s="6" t="s">
        <v>284</v>
      </c>
      <c r="F331" s="46">
        <v>46004</v>
      </c>
      <c r="G331" s="8">
        <v>0.5</v>
      </c>
      <c r="H331" s="2" t="s">
        <v>239</v>
      </c>
      <c r="I331" s="9" t="str">
        <f>_xlfn.XLOOKUP(Timeform[[#This Row],[Vaardigheid]],Lijsten!C:C,Lijsten!A:A)</f>
        <v>Manage &amp; Control</v>
      </c>
    </row>
    <row r="332" spans="2:9" ht="15">
      <c r="B332" s="2" t="s">
        <v>2</v>
      </c>
      <c r="C332" s="2" t="s">
        <v>50</v>
      </c>
      <c r="D332" s="6" t="s">
        <v>171</v>
      </c>
      <c r="E332" s="6" t="s">
        <v>172</v>
      </c>
      <c r="F332" s="7">
        <v>46005</v>
      </c>
      <c r="G332" s="8">
        <v>0.75</v>
      </c>
      <c r="H332" s="2" t="s">
        <v>239</v>
      </c>
      <c r="I332" s="9" t="str">
        <f>_xlfn.XLOOKUP(Timeform[[#This Row],[Vaardigheid]],Lijsten!C:C,Lijsten!A:A)</f>
        <v>Manage &amp; Control</v>
      </c>
    </row>
    <row r="333" spans="2:9" ht="15">
      <c r="B333" s="2" t="s">
        <v>3</v>
      </c>
      <c r="C333" s="2" t="s">
        <v>50</v>
      </c>
      <c r="D333" s="6" t="s">
        <v>171</v>
      </c>
      <c r="E333" s="6" t="s">
        <v>171</v>
      </c>
      <c r="F333" s="7">
        <v>46005</v>
      </c>
      <c r="G333" s="8">
        <v>0.75</v>
      </c>
      <c r="H333" s="2" t="s">
        <v>239</v>
      </c>
      <c r="I333" s="9" t="str">
        <f>_xlfn.XLOOKUP(Timeform[[#This Row],[Vaardigheid]],Lijsten!C:C,Lijsten!A:A)</f>
        <v>Manage &amp; Control</v>
      </c>
    </row>
    <row r="334" spans="2:9" ht="15">
      <c r="B334" s="2" t="s">
        <v>5</v>
      </c>
      <c r="C334" s="2" t="s">
        <v>50</v>
      </c>
      <c r="D334" s="6" t="s">
        <v>171</v>
      </c>
      <c r="E334" s="6" t="s">
        <v>171</v>
      </c>
      <c r="F334" s="7">
        <v>46005</v>
      </c>
      <c r="G334" s="8">
        <v>0.75</v>
      </c>
      <c r="H334" s="2" t="s">
        <v>239</v>
      </c>
      <c r="I334" s="9" t="str">
        <f>_xlfn.XLOOKUP(Timeform[[#This Row],[Vaardigheid]],Lijsten!C:C,Lijsten!A:A)</f>
        <v>Manage &amp; Control</v>
      </c>
    </row>
    <row r="335" spans="2:9" ht="15">
      <c r="B335" s="2" t="s">
        <v>7</v>
      </c>
      <c r="C335" s="2" t="s">
        <v>50</v>
      </c>
      <c r="D335" s="6" t="s">
        <v>171</v>
      </c>
      <c r="E335" s="6" t="s">
        <v>171</v>
      </c>
      <c r="F335" s="7">
        <v>46005</v>
      </c>
      <c r="G335" s="8">
        <v>0.75</v>
      </c>
      <c r="H335" s="2" t="s">
        <v>239</v>
      </c>
      <c r="I335" s="9" t="str">
        <f>_xlfn.XLOOKUP(Timeform[[#This Row],[Vaardigheid]],Lijsten!C:C,Lijsten!A:A)</f>
        <v>Manage &amp; Control</v>
      </c>
    </row>
    <row r="336" spans="2:9" ht="15">
      <c r="B336" s="2" t="s">
        <v>2</v>
      </c>
      <c r="C336" s="2" t="s">
        <v>50</v>
      </c>
      <c r="D336" s="6" t="s">
        <v>138</v>
      </c>
      <c r="E336" s="6" t="s">
        <v>285</v>
      </c>
      <c r="F336" s="7">
        <v>46005</v>
      </c>
      <c r="G336" s="8">
        <v>1</v>
      </c>
      <c r="H336" s="2" t="s">
        <v>239</v>
      </c>
      <c r="I336" s="9" t="str">
        <f>_xlfn.XLOOKUP(Timeform[[#This Row],[Vaardigheid]],Lijsten!C:C,Lijsten!A:A)</f>
        <v>Adviseren</v>
      </c>
    </row>
    <row r="337" spans="2:9" ht="15">
      <c r="B337" s="2" t="s">
        <v>3</v>
      </c>
      <c r="C337" s="2" t="s">
        <v>50</v>
      </c>
      <c r="D337" s="6" t="s">
        <v>138</v>
      </c>
      <c r="E337" s="6" t="s">
        <v>285</v>
      </c>
      <c r="F337" s="7">
        <v>46005</v>
      </c>
      <c r="G337" s="8">
        <v>0.5</v>
      </c>
      <c r="H337" s="2" t="s">
        <v>239</v>
      </c>
      <c r="I337" s="9" t="str">
        <f>_xlfn.XLOOKUP(Timeform[[#This Row],[Vaardigheid]],Lijsten!C:C,Lijsten!A:A)</f>
        <v>Adviseren</v>
      </c>
    </row>
    <row r="338" spans="2:9" ht="15">
      <c r="B338" s="2" t="s">
        <v>5</v>
      </c>
      <c r="C338" s="2" t="s">
        <v>127</v>
      </c>
      <c r="D338" s="6" t="s">
        <v>286</v>
      </c>
      <c r="E338" s="6" t="s">
        <v>287</v>
      </c>
      <c r="F338" s="7">
        <v>46005</v>
      </c>
      <c r="G338" s="8">
        <v>1</v>
      </c>
      <c r="H338" s="2" t="s">
        <v>239</v>
      </c>
      <c r="I338" s="9" t="str">
        <f>_xlfn.XLOOKUP(Timeform[[#This Row],[Vaardigheid]],Lijsten!C:C,Lijsten!A:A)</f>
        <v>Realiseren</v>
      </c>
    </row>
    <row r="339" spans="2:9" ht="15">
      <c r="B339" s="2" t="s">
        <v>5</v>
      </c>
      <c r="C339" s="2" t="s">
        <v>127</v>
      </c>
      <c r="D339" s="6" t="s">
        <v>128</v>
      </c>
      <c r="E339" s="6" t="s">
        <v>288</v>
      </c>
      <c r="F339" s="86">
        <v>46005</v>
      </c>
      <c r="G339" s="8">
        <v>4.5</v>
      </c>
      <c r="H339" s="2" t="s">
        <v>239</v>
      </c>
      <c r="I339" s="9" t="str">
        <f>_xlfn.XLOOKUP(Timeform[[#This Row],[Vaardigheid]],Lijsten!C:C,Lijsten!A:A)</f>
        <v>Realiseren</v>
      </c>
    </row>
    <row r="340" spans="2:9" ht="15">
      <c r="B340" s="2" t="s">
        <v>2</v>
      </c>
      <c r="C340" s="2" t="s">
        <v>50</v>
      </c>
      <c r="D340" s="6" t="s">
        <v>138</v>
      </c>
      <c r="E340" s="6" t="s">
        <v>289</v>
      </c>
      <c r="F340" s="7">
        <v>46005</v>
      </c>
      <c r="G340" s="8">
        <v>0.5</v>
      </c>
      <c r="H340" s="2" t="s">
        <v>239</v>
      </c>
      <c r="I340" s="9" t="str">
        <f>_xlfn.XLOOKUP(Timeform[[#This Row],[Vaardigheid]],Lijsten!C:C,Lijsten!A:A)</f>
        <v>Adviseren</v>
      </c>
    </row>
    <row r="341" spans="2:9" ht="15">
      <c r="B341" s="2" t="s">
        <v>2</v>
      </c>
      <c r="C341" s="2" t="s">
        <v>77</v>
      </c>
      <c r="D341" s="6" t="s">
        <v>107</v>
      </c>
      <c r="E341" s="6" t="s">
        <v>290</v>
      </c>
      <c r="F341" s="7">
        <v>46005</v>
      </c>
      <c r="G341" s="8">
        <v>0.25</v>
      </c>
      <c r="H341" s="2" t="s">
        <v>239</v>
      </c>
      <c r="I341" s="9" t="str">
        <f>_xlfn.XLOOKUP(Timeform[[#This Row],[Vaardigheid]],Lijsten!C:C,Lijsten!A:A)</f>
        <v>Realiseren</v>
      </c>
    </row>
    <row r="342" spans="2:9" ht="15">
      <c r="B342" s="2" t="s">
        <v>7</v>
      </c>
      <c r="C342" s="2" t="s">
        <v>127</v>
      </c>
      <c r="D342" s="6" t="s">
        <v>128</v>
      </c>
      <c r="E342" s="6" t="s">
        <v>268</v>
      </c>
      <c r="F342" s="108">
        <v>46005</v>
      </c>
      <c r="G342" s="8">
        <v>5</v>
      </c>
      <c r="H342" s="2" t="s">
        <v>239</v>
      </c>
      <c r="I342" s="9" t="str">
        <f>_xlfn.XLOOKUP(Timeform[[#This Row],[Vaardigheid]],Lijsten!C:C,Lijsten!A:A)</f>
        <v>Realiseren</v>
      </c>
    </row>
    <row r="343" spans="2:9" ht="15">
      <c r="B343" s="2" t="s">
        <v>3</v>
      </c>
      <c r="C343" s="2" t="s">
        <v>64</v>
      </c>
      <c r="D343" s="6" t="s">
        <v>134</v>
      </c>
      <c r="E343" s="6" t="s">
        <v>291</v>
      </c>
      <c r="F343" s="7">
        <v>46006</v>
      </c>
      <c r="G343" s="8">
        <v>0.5</v>
      </c>
      <c r="H343" s="2" t="s">
        <v>239</v>
      </c>
      <c r="I343" s="9" t="str">
        <f>_xlfn.XLOOKUP(Timeform[[#This Row],[Vaardigheid]],Lijsten!C:C,Lijsten!A:A)</f>
        <v>Ontwerpen</v>
      </c>
    </row>
    <row r="344" spans="2:9" ht="15">
      <c r="B344" s="2" t="s">
        <v>3</v>
      </c>
      <c r="C344" s="2" t="s">
        <v>55</v>
      </c>
      <c r="D344" s="6" t="s">
        <v>292</v>
      </c>
      <c r="E344" s="6" t="s">
        <v>293</v>
      </c>
      <c r="F344" s="7">
        <v>46006</v>
      </c>
      <c r="G344" s="8">
        <v>0.05</v>
      </c>
      <c r="H344" s="2" t="s">
        <v>239</v>
      </c>
      <c r="I344" s="9" t="str">
        <f>_xlfn.XLOOKUP(Timeform[[#This Row],[Vaardigheid]],Lijsten!C:C,Lijsten!A:A)</f>
        <v>Realiseren</v>
      </c>
    </row>
    <row r="345" spans="2:9" ht="15">
      <c r="B345" s="2" t="s">
        <v>2</v>
      </c>
      <c r="C345" s="25" t="s">
        <v>50</v>
      </c>
      <c r="D345" s="80" t="s">
        <v>171</v>
      </c>
      <c r="E345" s="6" t="s">
        <v>172</v>
      </c>
      <c r="F345" s="7">
        <v>46006</v>
      </c>
      <c r="G345" s="8">
        <v>1.5</v>
      </c>
      <c r="H345" s="2" t="s">
        <v>239</v>
      </c>
      <c r="I345" s="9" t="str">
        <f>_xlfn.XLOOKUP(Timeform[[#This Row],[Vaardigheid]],Lijsten!C:C,Lijsten!A:A)</f>
        <v>Manage &amp; Control</v>
      </c>
    </row>
    <row r="346" spans="2:9" ht="15">
      <c r="B346" s="2" t="s">
        <v>3</v>
      </c>
      <c r="C346" s="2" t="s">
        <v>50</v>
      </c>
      <c r="D346" s="6" t="s">
        <v>171</v>
      </c>
      <c r="E346" s="6" t="s">
        <v>171</v>
      </c>
      <c r="F346" s="7">
        <v>46006</v>
      </c>
      <c r="G346" s="8">
        <v>1.5</v>
      </c>
      <c r="H346" s="2" t="s">
        <v>239</v>
      </c>
      <c r="I346" s="9" t="str">
        <f>_xlfn.XLOOKUP(Timeform[[#This Row],[Vaardigheid]],Lijsten!C:C,Lijsten!A:A)</f>
        <v>Manage &amp; Control</v>
      </c>
    </row>
    <row r="347" spans="2:9" ht="15">
      <c r="B347" s="2" t="s">
        <v>5</v>
      </c>
      <c r="C347" s="2" t="s">
        <v>50</v>
      </c>
      <c r="D347" s="6" t="s">
        <v>171</v>
      </c>
      <c r="E347" s="6" t="s">
        <v>171</v>
      </c>
      <c r="F347" s="7">
        <v>46006</v>
      </c>
      <c r="G347" s="8">
        <v>1.5</v>
      </c>
      <c r="H347" s="2" t="s">
        <v>239</v>
      </c>
      <c r="I347" s="9" t="str">
        <f>_xlfn.XLOOKUP(Timeform[[#This Row],[Vaardigheid]],Lijsten!C:C,Lijsten!A:A)</f>
        <v>Manage &amp; Control</v>
      </c>
    </row>
    <row r="348" spans="2:9" ht="15">
      <c r="B348" s="50" t="s">
        <v>7</v>
      </c>
      <c r="C348" s="52" t="s">
        <v>50</v>
      </c>
      <c r="D348" s="54" t="s">
        <v>171</v>
      </c>
      <c r="E348" s="54" t="s">
        <v>171</v>
      </c>
      <c r="F348" s="121">
        <v>46006</v>
      </c>
      <c r="G348" s="57">
        <v>0.5</v>
      </c>
      <c r="H348" s="52" t="s">
        <v>239</v>
      </c>
      <c r="I348" s="78" t="str">
        <f>_xlfn.XLOOKUP(Timeform[[#This Row],[Vaardigheid]],Lijsten!C:C,Lijsten!A:A)</f>
        <v>Manage &amp; Control</v>
      </c>
    </row>
    <row r="349" spans="2:9" ht="15">
      <c r="B349" s="50" t="s">
        <v>3</v>
      </c>
      <c r="C349" s="52" t="s">
        <v>64</v>
      </c>
      <c r="D349" s="54" t="s">
        <v>134</v>
      </c>
      <c r="E349" s="54" t="s">
        <v>294</v>
      </c>
      <c r="F349" s="121">
        <v>46006</v>
      </c>
      <c r="G349" s="57">
        <v>0.75</v>
      </c>
      <c r="H349" s="52" t="s">
        <v>239</v>
      </c>
      <c r="I349" s="78" t="str">
        <f>_xlfn.XLOOKUP(Timeform[[#This Row],[Vaardigheid]],Lijsten!C:C,Lijsten!A:A)</f>
        <v>Ontwerpen</v>
      </c>
    </row>
    <row r="350" spans="2:9" ht="15">
      <c r="B350" s="50" t="s">
        <v>3</v>
      </c>
      <c r="C350" s="52" t="s">
        <v>55</v>
      </c>
      <c r="D350" s="54" t="s">
        <v>292</v>
      </c>
      <c r="E350" s="54" t="s">
        <v>295</v>
      </c>
      <c r="F350" s="121">
        <v>46006</v>
      </c>
      <c r="G350" s="57">
        <v>0.05</v>
      </c>
      <c r="H350" s="52" t="s">
        <v>239</v>
      </c>
      <c r="I350" s="78" t="str">
        <f>_xlfn.XLOOKUP(Timeform[[#This Row],[Vaardigheid]],Lijsten!C:C,Lijsten!A:A)</f>
        <v>Realiseren</v>
      </c>
    </row>
    <row r="351" spans="2:9" ht="15">
      <c r="B351" s="50" t="s">
        <v>3</v>
      </c>
      <c r="C351" s="129" t="s">
        <v>55</v>
      </c>
      <c r="D351" s="129" t="s">
        <v>74</v>
      </c>
      <c r="E351" s="133" t="s">
        <v>296</v>
      </c>
      <c r="F351" s="121">
        <v>46006</v>
      </c>
      <c r="G351" s="57">
        <v>0.05</v>
      </c>
      <c r="H351" s="52" t="s">
        <v>239</v>
      </c>
      <c r="I351" s="78" t="str">
        <f>_xlfn.XLOOKUP(Timeform[[#This Row],[Vaardigheid]],Lijsten!C:C,Lijsten!A:A)</f>
        <v>Realiseren</v>
      </c>
    </row>
    <row r="352" spans="2:9" ht="15">
      <c r="B352" s="2" t="s">
        <v>3</v>
      </c>
      <c r="C352" s="81" t="s">
        <v>55</v>
      </c>
      <c r="D352" s="81" t="s">
        <v>74</v>
      </c>
      <c r="E352" s="21" t="s">
        <v>297</v>
      </c>
      <c r="F352" s="7">
        <v>46006</v>
      </c>
      <c r="G352" s="8">
        <v>0.05</v>
      </c>
      <c r="H352" s="2" t="s">
        <v>239</v>
      </c>
      <c r="I352" s="9" t="str">
        <f>_xlfn.XLOOKUP(Timeform[[#This Row],[Vaardigheid]],Lijsten!C:C,Lijsten!A:A)</f>
        <v>Realiseren</v>
      </c>
    </row>
    <row r="353" spans="2:9" ht="15">
      <c r="B353" s="2" t="s">
        <v>7</v>
      </c>
      <c r="C353" s="2" t="s">
        <v>127</v>
      </c>
      <c r="D353" s="6" t="s">
        <v>128</v>
      </c>
      <c r="E353" s="6" t="s">
        <v>268</v>
      </c>
      <c r="F353" s="7">
        <v>46006</v>
      </c>
      <c r="G353" s="8">
        <v>3</v>
      </c>
      <c r="H353" s="2" t="s">
        <v>239</v>
      </c>
      <c r="I353" s="9" t="str">
        <f>_xlfn.XLOOKUP(Timeform[[#This Row],[Vaardigheid]],Lijsten!C:C,Lijsten!A:A)</f>
        <v>Realiseren</v>
      </c>
    </row>
    <row r="354" spans="2:9" ht="15">
      <c r="B354" s="2" t="s">
        <v>7</v>
      </c>
      <c r="C354" s="2" t="s">
        <v>50</v>
      </c>
      <c r="D354" s="6" t="s">
        <v>298</v>
      </c>
      <c r="E354" s="6" t="s">
        <v>299</v>
      </c>
      <c r="F354" s="7">
        <v>46006</v>
      </c>
      <c r="G354" s="8">
        <v>0.5</v>
      </c>
      <c r="H354" s="2" t="s">
        <v>239</v>
      </c>
      <c r="I354" s="9" t="str">
        <f>_xlfn.XLOOKUP(Timeform[[#This Row],[Vaardigheid]],Lijsten!C:C,Lijsten!A:A)</f>
        <v>Realiseren</v>
      </c>
    </row>
    <row r="355" spans="2:9" ht="15">
      <c r="B355" s="2" t="s">
        <v>2</v>
      </c>
      <c r="C355" s="2" t="s">
        <v>50</v>
      </c>
      <c r="D355" s="6" t="s">
        <v>230</v>
      </c>
      <c r="E355" s="6" t="s">
        <v>300</v>
      </c>
      <c r="F355" s="7">
        <v>46007</v>
      </c>
      <c r="G355" s="8">
        <v>1</v>
      </c>
      <c r="H355" s="2" t="s">
        <v>239</v>
      </c>
      <c r="I355" s="9" t="str">
        <f>_xlfn.XLOOKUP(Timeform[[#This Row],[Vaardigheid]],Lijsten!C:C,Lijsten!A:A)</f>
        <v>Realiseren</v>
      </c>
    </row>
    <row r="356" spans="2:9" ht="15">
      <c r="B356" s="2" t="s">
        <v>3</v>
      </c>
      <c r="C356" s="2" t="s">
        <v>50</v>
      </c>
      <c r="D356" s="6" t="s">
        <v>230</v>
      </c>
      <c r="E356" s="6" t="s">
        <v>300</v>
      </c>
      <c r="F356" s="7">
        <v>46007</v>
      </c>
      <c r="G356" s="8">
        <v>1</v>
      </c>
      <c r="H356" s="2" t="s">
        <v>239</v>
      </c>
      <c r="I356" s="9" t="str">
        <f>_xlfn.XLOOKUP(Timeform[[#This Row],[Vaardigheid]],Lijsten!C:C,Lijsten!A:A)</f>
        <v>Realiseren</v>
      </c>
    </row>
    <row r="357" spans="2:9" ht="15">
      <c r="B357" s="2" t="s">
        <v>5</v>
      </c>
      <c r="C357" s="2" t="s">
        <v>50</v>
      </c>
      <c r="D357" s="6" t="s">
        <v>230</v>
      </c>
      <c r="E357" s="6" t="s">
        <v>300</v>
      </c>
      <c r="F357" s="7">
        <v>46007</v>
      </c>
      <c r="G357" s="8">
        <v>1</v>
      </c>
      <c r="H357" s="2" t="s">
        <v>239</v>
      </c>
      <c r="I357" s="9" t="str">
        <f>_xlfn.XLOOKUP(Timeform[[#This Row],[Vaardigheid]],Lijsten!C:C,Lijsten!A:A)</f>
        <v>Realiseren</v>
      </c>
    </row>
    <row r="358" spans="2:9" ht="15">
      <c r="B358" s="2" t="s">
        <v>7</v>
      </c>
      <c r="C358" s="2" t="s">
        <v>50</v>
      </c>
      <c r="D358" s="96" t="s">
        <v>230</v>
      </c>
      <c r="E358" s="6" t="s">
        <v>300</v>
      </c>
      <c r="F358" s="7">
        <v>46007</v>
      </c>
      <c r="G358" s="8">
        <v>1</v>
      </c>
      <c r="H358" s="2" t="s">
        <v>239</v>
      </c>
      <c r="I358" s="9" t="str">
        <f>_xlfn.XLOOKUP(Timeform[[#This Row],[Vaardigheid]],Lijsten!C:C,Lijsten!A:A)</f>
        <v>Realiseren</v>
      </c>
    </row>
    <row r="359" spans="2:9" ht="15">
      <c r="B359" s="2" t="s">
        <v>2</v>
      </c>
      <c r="C359" s="25" t="s">
        <v>50</v>
      </c>
      <c r="D359" s="80" t="s">
        <v>171</v>
      </c>
      <c r="E359" s="6" t="s">
        <v>172</v>
      </c>
      <c r="F359" s="7">
        <v>46007</v>
      </c>
      <c r="G359" s="8">
        <v>1</v>
      </c>
      <c r="H359" s="2" t="s">
        <v>239</v>
      </c>
      <c r="I359" s="9" t="str">
        <f>_xlfn.XLOOKUP(Timeform[[#This Row],[Vaardigheid]],Lijsten!C:C,Lijsten!A:A)</f>
        <v>Manage &amp; Control</v>
      </c>
    </row>
    <row r="360" spans="2:9" ht="15">
      <c r="B360" s="2" t="s">
        <v>3</v>
      </c>
      <c r="C360" s="2" t="s">
        <v>50</v>
      </c>
      <c r="D360" s="6" t="s">
        <v>171</v>
      </c>
      <c r="E360" s="6" t="s">
        <v>171</v>
      </c>
      <c r="F360" s="7">
        <v>46007</v>
      </c>
      <c r="G360" s="8">
        <v>1</v>
      </c>
      <c r="H360" s="2" t="s">
        <v>239</v>
      </c>
      <c r="I360" s="9" t="str">
        <f>_xlfn.XLOOKUP(Timeform[[#This Row],[Vaardigheid]],Lijsten!C:C,Lijsten!A:A)</f>
        <v>Manage &amp; Control</v>
      </c>
    </row>
    <row r="361" spans="2:9" ht="15">
      <c r="B361" s="2" t="s">
        <v>5</v>
      </c>
      <c r="C361" s="2" t="s">
        <v>50</v>
      </c>
      <c r="D361" s="6" t="s">
        <v>171</v>
      </c>
      <c r="E361" s="6" t="s">
        <v>171</v>
      </c>
      <c r="F361" s="7">
        <v>46007</v>
      </c>
      <c r="G361" s="8">
        <v>1</v>
      </c>
      <c r="H361" s="2" t="s">
        <v>239</v>
      </c>
      <c r="I361" s="9" t="str">
        <f>_xlfn.XLOOKUP(Timeform[[#This Row],[Vaardigheid]],Lijsten!C:C,Lijsten!A:A)</f>
        <v>Manage &amp; Control</v>
      </c>
    </row>
    <row r="362" spans="2:9" ht="15">
      <c r="B362" s="2" t="s">
        <v>7</v>
      </c>
      <c r="C362" s="2" t="s">
        <v>50</v>
      </c>
      <c r="D362" s="6" t="s">
        <v>171</v>
      </c>
      <c r="E362" s="6" t="s">
        <v>171</v>
      </c>
      <c r="F362" s="7">
        <v>46007</v>
      </c>
      <c r="G362" s="8">
        <v>1</v>
      </c>
      <c r="H362" s="2" t="s">
        <v>239</v>
      </c>
      <c r="I362" s="9" t="str">
        <f>_xlfn.XLOOKUP(Timeform[[#This Row],[Vaardigheid]],Lijsten!C:C,Lijsten!A:A)</f>
        <v>Manage &amp; Control</v>
      </c>
    </row>
    <row r="363" spans="2:9" ht="15">
      <c r="B363" s="2" t="s">
        <v>2</v>
      </c>
      <c r="C363" s="2" t="s">
        <v>50</v>
      </c>
      <c r="D363" s="6" t="s">
        <v>152</v>
      </c>
      <c r="E363" s="6" t="s">
        <v>301</v>
      </c>
      <c r="F363" s="7">
        <v>46007</v>
      </c>
      <c r="G363" s="8">
        <v>1</v>
      </c>
      <c r="H363" s="2" t="s">
        <v>239</v>
      </c>
      <c r="I363" s="9" t="str">
        <f>_xlfn.XLOOKUP(Timeform[[#This Row],[Vaardigheid]],Lijsten!C:C,Lijsten!A:A)</f>
        <v>Analyseren</v>
      </c>
    </row>
    <row r="364" spans="2:9" ht="15">
      <c r="B364" s="2" t="s">
        <v>5</v>
      </c>
      <c r="C364" s="2" t="s">
        <v>50</v>
      </c>
      <c r="D364" s="6" t="s">
        <v>152</v>
      </c>
      <c r="E364" s="6" t="s">
        <v>301</v>
      </c>
      <c r="F364" s="7">
        <v>46007</v>
      </c>
      <c r="G364" s="8">
        <v>2</v>
      </c>
      <c r="H364" s="2" t="s">
        <v>239</v>
      </c>
      <c r="I364" s="9" t="str">
        <f>_xlfn.XLOOKUP(Timeform[[#This Row],[Vaardigheid]],Lijsten!C:C,Lijsten!A:A)</f>
        <v>Analyseren</v>
      </c>
    </row>
    <row r="365" spans="2:9" ht="15">
      <c r="B365" s="2" t="s">
        <v>5</v>
      </c>
      <c r="C365" s="2" t="s">
        <v>37</v>
      </c>
      <c r="D365" s="6" t="s">
        <v>38</v>
      </c>
      <c r="E365" s="6" t="s">
        <v>302</v>
      </c>
      <c r="F365" s="7">
        <v>46007</v>
      </c>
      <c r="G365" s="8">
        <v>1.2</v>
      </c>
      <c r="H365" s="2" t="s">
        <v>239</v>
      </c>
      <c r="I365" s="9" t="str">
        <f>_xlfn.XLOOKUP(Timeform[[#This Row],[Vaardigheid]],Lijsten!C:C,Lijsten!A:A)</f>
        <v>Analyseren</v>
      </c>
    </row>
    <row r="366" spans="2:9" ht="29.25">
      <c r="B366" s="2" t="s">
        <v>7</v>
      </c>
      <c r="C366" s="2" t="s">
        <v>37</v>
      </c>
      <c r="D366" s="6" t="s">
        <v>46</v>
      </c>
      <c r="E366" s="6" t="s">
        <v>262</v>
      </c>
      <c r="F366" s="7">
        <v>46007</v>
      </c>
      <c r="G366" s="8">
        <v>0.5</v>
      </c>
      <c r="H366" s="2" t="s">
        <v>239</v>
      </c>
      <c r="I366" s="9" t="str">
        <f>_xlfn.XLOOKUP(Timeform[[#This Row],[Vaardigheid]],Lijsten!C:C,Lijsten!A:A)</f>
        <v>Analyseren</v>
      </c>
    </row>
    <row r="367" spans="2:9" ht="29.25">
      <c r="B367" s="2" t="s">
        <v>7</v>
      </c>
      <c r="C367" s="2" t="s">
        <v>174</v>
      </c>
      <c r="D367" s="6" t="s">
        <v>92</v>
      </c>
      <c r="E367" s="6" t="s">
        <v>303</v>
      </c>
      <c r="F367" s="7">
        <v>46007</v>
      </c>
      <c r="G367" s="8">
        <v>1</v>
      </c>
      <c r="H367" s="2" t="s">
        <v>239</v>
      </c>
      <c r="I367" s="9" t="str">
        <f>_xlfn.XLOOKUP(Timeform[[#This Row],[Vaardigheid]],Lijsten!C:C,Lijsten!A:A)</f>
        <v>Adviseren</v>
      </c>
    </row>
    <row r="368" spans="2:9" ht="15">
      <c r="B368" s="2" t="s">
        <v>2</v>
      </c>
      <c r="C368" s="25" t="s">
        <v>50</v>
      </c>
      <c r="D368" s="80" t="s">
        <v>171</v>
      </c>
      <c r="E368" s="6" t="s">
        <v>172</v>
      </c>
      <c r="F368" s="7">
        <v>46008</v>
      </c>
      <c r="G368" s="8">
        <v>0.75</v>
      </c>
      <c r="H368" s="2" t="s">
        <v>239</v>
      </c>
      <c r="I368" s="9" t="str">
        <f>_xlfn.XLOOKUP(Timeform[[#This Row],[Vaardigheid]],Lijsten!C:C,Lijsten!A:A)</f>
        <v>Manage &amp; Control</v>
      </c>
    </row>
    <row r="369" spans="2:9" ht="15">
      <c r="B369" s="2" t="s">
        <v>3</v>
      </c>
      <c r="C369" s="2" t="s">
        <v>50</v>
      </c>
      <c r="D369" s="6" t="s">
        <v>171</v>
      </c>
      <c r="E369" s="6" t="s">
        <v>171</v>
      </c>
      <c r="F369" s="7">
        <v>46008</v>
      </c>
      <c r="G369" s="8">
        <v>0.75</v>
      </c>
      <c r="H369" s="2" t="s">
        <v>239</v>
      </c>
      <c r="I369" s="9" t="str">
        <f>_xlfn.XLOOKUP(Timeform[[#This Row],[Vaardigheid]],Lijsten!C:C,Lijsten!A:A)</f>
        <v>Manage &amp; Control</v>
      </c>
    </row>
    <row r="370" spans="2:9" ht="15">
      <c r="B370" s="2" t="s">
        <v>5</v>
      </c>
      <c r="C370" s="2" t="s">
        <v>50</v>
      </c>
      <c r="D370" s="6" t="s">
        <v>171</v>
      </c>
      <c r="E370" s="6" t="s">
        <v>171</v>
      </c>
      <c r="F370" s="7">
        <v>46008</v>
      </c>
      <c r="G370" s="8">
        <v>0.75</v>
      </c>
      <c r="H370" s="2" t="s">
        <v>239</v>
      </c>
      <c r="I370" s="9" t="str">
        <f>_xlfn.XLOOKUP(Timeform[[#This Row],[Vaardigheid]],Lijsten!C:C,Lijsten!A:A)</f>
        <v>Manage &amp; Control</v>
      </c>
    </row>
    <row r="371" spans="2:9" ht="15">
      <c r="B371" s="2" t="s">
        <v>2</v>
      </c>
      <c r="C371" s="2" t="s">
        <v>50</v>
      </c>
      <c r="D371" s="6" t="s">
        <v>152</v>
      </c>
      <c r="E371" s="6" t="s">
        <v>304</v>
      </c>
      <c r="F371" s="7">
        <v>46008</v>
      </c>
      <c r="G371" s="8">
        <v>0.75</v>
      </c>
      <c r="H371" s="2" t="s">
        <v>239</v>
      </c>
      <c r="I371" s="9" t="str">
        <f>_xlfn.XLOOKUP(Timeform[[#This Row],[Vaardigheid]],Lijsten!C:C,Lijsten!A:A)</f>
        <v>Analyseren</v>
      </c>
    </row>
    <row r="372" spans="2:9" ht="15">
      <c r="B372" s="2" t="s">
        <v>2</v>
      </c>
      <c r="D372" s="6"/>
      <c r="E372" s="6" t="s">
        <v>305</v>
      </c>
      <c r="F372" s="7">
        <v>46008</v>
      </c>
      <c r="G372" s="8"/>
      <c r="H372" s="2" t="s">
        <v>239</v>
      </c>
      <c r="I372" s="9">
        <f>_xlfn.XLOOKUP(Timeform[[#This Row],[Vaardigheid]],Lijsten!C:C,Lijsten!A:A)</f>
        <v>0</v>
      </c>
    </row>
    <row r="373" spans="2:9" ht="15">
      <c r="B373" s="2" t="s">
        <v>5</v>
      </c>
      <c r="C373" s="2" t="s">
        <v>127</v>
      </c>
      <c r="D373" s="6" t="s">
        <v>128</v>
      </c>
      <c r="E373" s="6" t="s">
        <v>306</v>
      </c>
      <c r="F373" s="7">
        <v>46008</v>
      </c>
      <c r="G373" s="8">
        <v>1</v>
      </c>
      <c r="H373" s="2" t="s">
        <v>239</v>
      </c>
      <c r="I373" s="9" t="str">
        <f>_xlfn.XLOOKUP(Timeform[[#This Row],[Vaardigheid]],Lijsten!C:C,Lijsten!A:A)</f>
        <v>Realiseren</v>
      </c>
    </row>
    <row r="374" spans="2:9" ht="15">
      <c r="B374" s="2" t="s">
        <v>7</v>
      </c>
      <c r="C374" s="2" t="s">
        <v>50</v>
      </c>
      <c r="D374" s="6" t="s">
        <v>260</v>
      </c>
      <c r="E374" s="6" t="s">
        <v>260</v>
      </c>
      <c r="F374" s="7">
        <v>46008</v>
      </c>
      <c r="G374" s="8">
        <v>0.75</v>
      </c>
      <c r="H374" s="2" t="s">
        <v>239</v>
      </c>
      <c r="I374" s="9" t="str">
        <f>_xlfn.XLOOKUP(Timeform[[#This Row],[Vaardigheid]],Lijsten!C:C,Lijsten!A:A)</f>
        <v>Analyseren</v>
      </c>
    </row>
    <row r="375" spans="2:9" ht="29.25">
      <c r="B375" s="2" t="s">
        <v>3</v>
      </c>
      <c r="C375" s="2" t="s">
        <v>50</v>
      </c>
      <c r="D375" s="6" t="s">
        <v>260</v>
      </c>
      <c r="E375" s="6" t="s">
        <v>307</v>
      </c>
      <c r="F375" s="7">
        <v>46008</v>
      </c>
      <c r="G375" s="8">
        <v>0.5</v>
      </c>
      <c r="H375" s="2" t="s">
        <v>239</v>
      </c>
      <c r="I375" s="9" t="str">
        <f>_xlfn.XLOOKUP(Timeform[[#This Row],[Vaardigheid]],Lijsten!C:C,Lijsten!A:A)</f>
        <v>Analyseren</v>
      </c>
    </row>
    <row r="376" spans="2:9" ht="15">
      <c r="B376" s="111" t="s">
        <v>7</v>
      </c>
      <c r="C376" s="111" t="s">
        <v>50</v>
      </c>
      <c r="D376" s="116" t="s">
        <v>171</v>
      </c>
      <c r="E376" s="116" t="s">
        <v>173</v>
      </c>
      <c r="F376" s="122">
        <v>46008</v>
      </c>
      <c r="G376" s="125">
        <v>0.5</v>
      </c>
      <c r="H376" s="111" t="s">
        <v>239</v>
      </c>
      <c r="I376" s="9" t="str">
        <f>_xlfn.XLOOKUP(Timeform[[#This Row],[Vaardigheid]],Lijsten!C:C,Lijsten!A:A)</f>
        <v>Manage &amp; Control</v>
      </c>
    </row>
    <row r="377" spans="2:9" ht="15">
      <c r="B377" s="111" t="s">
        <v>7</v>
      </c>
      <c r="C377" s="111" t="s">
        <v>50</v>
      </c>
      <c r="D377" s="116" t="s">
        <v>60</v>
      </c>
      <c r="E377" s="116" t="s">
        <v>308</v>
      </c>
      <c r="F377" s="122">
        <v>46008</v>
      </c>
      <c r="G377" s="125">
        <v>2</v>
      </c>
      <c r="H377" s="111" t="s">
        <v>239</v>
      </c>
      <c r="I377" s="9" t="str">
        <f>_xlfn.XLOOKUP(Timeform[[#This Row],[Vaardigheid]],Lijsten!C:C,Lijsten!A:A)</f>
        <v>Realiseren</v>
      </c>
    </row>
    <row r="378" spans="2:9" ht="15">
      <c r="B378" s="2" t="s">
        <v>7</v>
      </c>
      <c r="C378" s="2" t="s">
        <v>77</v>
      </c>
      <c r="D378" s="6" t="s">
        <v>107</v>
      </c>
      <c r="E378" s="6" t="s">
        <v>309</v>
      </c>
      <c r="F378" s="46">
        <v>46008</v>
      </c>
      <c r="G378" s="8">
        <v>0.5</v>
      </c>
      <c r="H378" s="2" t="s">
        <v>239</v>
      </c>
      <c r="I378" s="9" t="str">
        <f>_xlfn.XLOOKUP(Timeform[[#This Row],[Vaardigheid]],Lijsten!C:C,Lijsten!A:A)</f>
        <v>Realiseren</v>
      </c>
    </row>
    <row r="379" spans="2:9" ht="15">
      <c r="B379" s="98" t="s">
        <v>7</v>
      </c>
      <c r="C379" s="99" t="s">
        <v>55</v>
      </c>
      <c r="D379" s="100" t="s">
        <v>67</v>
      </c>
      <c r="E379" s="100" t="s">
        <v>310</v>
      </c>
      <c r="F379" s="101">
        <v>46008</v>
      </c>
      <c r="G379" s="102">
        <v>0.5</v>
      </c>
      <c r="H379" s="99" t="s">
        <v>239</v>
      </c>
      <c r="I379" s="95" t="str">
        <f>_xlfn.XLOOKUP(Timeform[[#This Row],[Vaardigheid]],Lijsten!C:C,Lijsten!A:A)</f>
        <v>Manage &amp; Control</v>
      </c>
    </row>
    <row r="380" spans="2:9" ht="15">
      <c r="B380" s="110" t="s">
        <v>2</v>
      </c>
      <c r="C380" s="114" t="s">
        <v>50</v>
      </c>
      <c r="D380" s="115" t="s">
        <v>171</v>
      </c>
      <c r="E380" s="132" t="s">
        <v>172</v>
      </c>
      <c r="F380" s="135">
        <v>46009</v>
      </c>
      <c r="G380" s="124">
        <v>0.5</v>
      </c>
      <c r="H380" s="114" t="s">
        <v>239</v>
      </c>
      <c r="I380" s="95" t="str">
        <f>_xlfn.XLOOKUP(Timeform[[#This Row],[Vaardigheid]],Lijsten!C:C,Lijsten!A:A)</f>
        <v>Manage &amp; Control</v>
      </c>
    </row>
    <row r="381" spans="2:9" ht="15">
      <c r="B381" s="2" t="s">
        <v>2</v>
      </c>
      <c r="C381" s="2" t="s">
        <v>50</v>
      </c>
      <c r="D381" s="6" t="s">
        <v>138</v>
      </c>
      <c r="E381" s="6" t="s">
        <v>311</v>
      </c>
      <c r="F381" s="7">
        <v>46009</v>
      </c>
      <c r="G381" s="8">
        <v>0.75</v>
      </c>
      <c r="H381" s="2" t="s">
        <v>239</v>
      </c>
      <c r="I381" s="9" t="str">
        <f>_xlfn.XLOOKUP(Timeform[[#This Row],[Vaardigheid]],Lijsten!C:C,Lijsten!A:A)</f>
        <v>Adviseren</v>
      </c>
    </row>
    <row r="382" spans="2:9" ht="15">
      <c r="B382" s="2" t="s">
        <v>2</v>
      </c>
      <c r="D382" s="6"/>
      <c r="E382" s="6" t="s">
        <v>305</v>
      </c>
      <c r="F382" s="7">
        <v>46009</v>
      </c>
      <c r="G382" s="8"/>
      <c r="H382" s="2" t="s">
        <v>239</v>
      </c>
      <c r="I382" s="9">
        <f>_xlfn.XLOOKUP(Timeform[[#This Row],[Vaardigheid]],Lijsten!C:C,Lijsten!A:A)</f>
        <v>0</v>
      </c>
    </row>
    <row r="383" spans="2:9" ht="15">
      <c r="B383" s="2" t="s">
        <v>5</v>
      </c>
      <c r="C383" s="2" t="s">
        <v>50</v>
      </c>
      <c r="D383" s="6" t="s">
        <v>171</v>
      </c>
      <c r="E383" s="96" t="s">
        <v>171</v>
      </c>
      <c r="F383" s="7">
        <v>46009</v>
      </c>
      <c r="G383" s="8">
        <v>1</v>
      </c>
      <c r="H383" s="2" t="s">
        <v>239</v>
      </c>
      <c r="I383" s="9" t="str">
        <f>_xlfn.XLOOKUP(Timeform[[#This Row],[Vaardigheid]],Lijsten!C:C,Lijsten!A:A)</f>
        <v>Manage &amp; Control</v>
      </c>
    </row>
    <row r="384" spans="2:9" ht="15">
      <c r="B384" s="2" t="s">
        <v>5</v>
      </c>
      <c r="C384" s="2" t="s">
        <v>127</v>
      </c>
      <c r="D384" s="6" t="s">
        <v>128</v>
      </c>
      <c r="E384" s="6" t="s">
        <v>312</v>
      </c>
      <c r="F384" s="7">
        <v>46009</v>
      </c>
      <c r="G384" s="8">
        <v>0.5</v>
      </c>
      <c r="H384" s="2" t="s">
        <v>239</v>
      </c>
      <c r="I384" s="9" t="str">
        <f>_xlfn.XLOOKUP(Timeform[[#This Row],[Vaardigheid]],Lijsten!C:C,Lijsten!A:A)</f>
        <v>Realiseren</v>
      </c>
    </row>
    <row r="385" spans="2:9" ht="15">
      <c r="B385" s="50" t="s">
        <v>5</v>
      </c>
      <c r="C385" s="52" t="s">
        <v>127</v>
      </c>
      <c r="D385" s="54" t="s">
        <v>128</v>
      </c>
      <c r="E385" s="54" t="s">
        <v>313</v>
      </c>
      <c r="F385" s="121">
        <v>46009</v>
      </c>
      <c r="G385" s="57">
        <v>1.5</v>
      </c>
      <c r="H385" s="52" t="s">
        <v>239</v>
      </c>
      <c r="I385" s="78" t="str">
        <f>_xlfn.XLOOKUP(Timeform[[#This Row],[Vaardigheid]],Lijsten!C:C,Lijsten!A:A)</f>
        <v>Realiseren</v>
      </c>
    </row>
    <row r="386" spans="2:9" ht="15">
      <c r="B386" s="2" t="s">
        <v>3</v>
      </c>
      <c r="C386" s="2" t="s">
        <v>50</v>
      </c>
      <c r="D386" s="6" t="s">
        <v>171</v>
      </c>
      <c r="E386" s="6" t="s">
        <v>171</v>
      </c>
      <c r="F386" s="7">
        <v>46009</v>
      </c>
      <c r="G386" s="8">
        <v>1</v>
      </c>
      <c r="H386" s="2" t="s">
        <v>239</v>
      </c>
      <c r="I386" s="9" t="str">
        <f>_xlfn.XLOOKUP(Timeform[[#This Row],[Vaardigheid]],Lijsten!C:C,Lijsten!A:A)</f>
        <v>Manage &amp; Control</v>
      </c>
    </row>
    <row r="387" spans="2:9" ht="15">
      <c r="B387" s="2" t="s">
        <v>7</v>
      </c>
      <c r="C387" s="2" t="s">
        <v>50</v>
      </c>
      <c r="D387" s="6" t="s">
        <v>171</v>
      </c>
      <c r="E387" s="6" t="s">
        <v>171</v>
      </c>
      <c r="F387" s="7">
        <v>46009</v>
      </c>
      <c r="G387" s="8">
        <v>1</v>
      </c>
      <c r="H387" s="2" t="s">
        <v>239</v>
      </c>
      <c r="I387" s="9" t="str">
        <f>_xlfn.XLOOKUP(Timeform[[#This Row],[Vaardigheid]],Lijsten!C:C,Lijsten!A:A)</f>
        <v>Manage &amp; Control</v>
      </c>
    </row>
    <row r="388" spans="2:9" ht="15">
      <c r="B388" s="2" t="s">
        <v>3</v>
      </c>
      <c r="C388" s="2" t="s">
        <v>50</v>
      </c>
      <c r="D388" s="6" t="s">
        <v>138</v>
      </c>
      <c r="E388" s="6" t="s">
        <v>314</v>
      </c>
      <c r="F388" s="7">
        <v>46009</v>
      </c>
      <c r="G388" s="8">
        <v>0.25</v>
      </c>
      <c r="H388" s="2" t="s">
        <v>239</v>
      </c>
      <c r="I388" s="9" t="str">
        <f>_xlfn.XLOOKUP(Timeform[[#This Row],[Vaardigheid]],Lijsten!C:C,Lijsten!A:A)</f>
        <v>Adviseren</v>
      </c>
    </row>
    <row r="389" spans="2:9" ht="15">
      <c r="B389" s="2" t="s">
        <v>7</v>
      </c>
      <c r="C389" s="2" t="s">
        <v>127</v>
      </c>
      <c r="D389" s="6" t="s">
        <v>128</v>
      </c>
      <c r="E389" s="6" t="s">
        <v>315</v>
      </c>
      <c r="F389" s="7">
        <v>46009</v>
      </c>
      <c r="G389" s="8">
        <v>4</v>
      </c>
      <c r="H389" s="2" t="s">
        <v>239</v>
      </c>
      <c r="I389" s="9" t="str">
        <f>_xlfn.XLOOKUP(Timeform[[#This Row],[Vaardigheid]],Lijsten!C:C,Lijsten!A:A)</f>
        <v>Realiseren</v>
      </c>
    </row>
    <row r="390" spans="2:9" ht="15">
      <c r="B390" s="2" t="s">
        <v>7</v>
      </c>
      <c r="C390" s="2" t="s">
        <v>77</v>
      </c>
      <c r="D390" s="6" t="s">
        <v>145</v>
      </c>
      <c r="E390" s="6" t="s">
        <v>316</v>
      </c>
      <c r="F390" s="7">
        <v>46009</v>
      </c>
      <c r="G390" s="8">
        <v>0.5</v>
      </c>
      <c r="H390" s="2" t="s">
        <v>239</v>
      </c>
      <c r="I390" s="9" t="str">
        <f>_xlfn.XLOOKUP(Timeform[[#This Row],[Vaardigheid]],Lijsten!C:C,Lijsten!A:A)</f>
        <v>Realiseren</v>
      </c>
    </row>
    <row r="391" spans="2:9" ht="15">
      <c r="B391" s="2" t="s">
        <v>7</v>
      </c>
      <c r="C391" s="2" t="s">
        <v>77</v>
      </c>
      <c r="D391" s="6" t="s">
        <v>107</v>
      </c>
      <c r="E391" s="6" t="s">
        <v>317</v>
      </c>
      <c r="F391" s="7">
        <v>46009</v>
      </c>
      <c r="G391" s="8">
        <v>0.5</v>
      </c>
      <c r="H391" s="2" t="s">
        <v>239</v>
      </c>
      <c r="I391" s="9" t="str">
        <f>_xlfn.XLOOKUP(Timeform[[#This Row],[Vaardigheid]],Lijsten!C:C,Lijsten!A:A)</f>
        <v>Realiseren</v>
      </c>
    </row>
    <row r="392" spans="2:9" ht="15">
      <c r="B392" s="2" t="s">
        <v>7</v>
      </c>
      <c r="C392" s="2" t="s">
        <v>77</v>
      </c>
      <c r="D392" t="s">
        <v>279</v>
      </c>
      <c r="E392" s="6" t="s">
        <v>318</v>
      </c>
      <c r="F392" s="7">
        <v>46009</v>
      </c>
      <c r="G392" s="8">
        <v>0.2</v>
      </c>
      <c r="H392" s="2" t="s">
        <v>239</v>
      </c>
      <c r="I392" s="9" t="str">
        <f>_xlfn.XLOOKUP(Timeform[[#This Row],[Vaardigheid]],Lijsten!C:C,Lijsten!A:A)</f>
        <v>Realiseren</v>
      </c>
    </row>
    <row r="393" spans="2:9" ht="15">
      <c r="B393" s="127" t="s">
        <v>7</v>
      </c>
      <c r="C393" s="127" t="s">
        <v>50</v>
      </c>
      <c r="D393" s="130" t="s">
        <v>60</v>
      </c>
      <c r="E393" s="130" t="s">
        <v>308</v>
      </c>
      <c r="F393" s="134">
        <v>46009</v>
      </c>
      <c r="G393" s="140">
        <v>2</v>
      </c>
      <c r="H393" s="127" t="s">
        <v>239</v>
      </c>
      <c r="I393" s="88" t="str">
        <f>_xlfn.XLOOKUP(Timeform[[#This Row],[Vaardigheid]],Lijsten!C:C,Lijsten!A:A)</f>
        <v>Realiseren</v>
      </c>
    </row>
    <row r="394" spans="2:9" ht="15">
      <c r="B394" s="2" t="s">
        <v>7</v>
      </c>
      <c r="C394" s="2" t="s">
        <v>127</v>
      </c>
      <c r="D394" s="6" t="s">
        <v>128</v>
      </c>
      <c r="E394" s="6" t="s">
        <v>315</v>
      </c>
      <c r="F394" s="7">
        <v>46010</v>
      </c>
      <c r="G394" s="8">
        <v>2</v>
      </c>
      <c r="H394" s="2" t="s">
        <v>239</v>
      </c>
      <c r="I394" s="9" t="str">
        <f>_xlfn.XLOOKUP(Timeform[[#This Row],[Vaardigheid]],Lijsten!C:C,Lijsten!A:A)</f>
        <v>Realiseren</v>
      </c>
    </row>
    <row r="395" spans="2:9" ht="15">
      <c r="B395" s="2" t="s">
        <v>7</v>
      </c>
      <c r="C395" s="2" t="s">
        <v>127</v>
      </c>
      <c r="D395" s="6" t="s">
        <v>128</v>
      </c>
      <c r="E395" s="6" t="s">
        <v>319</v>
      </c>
      <c r="F395" s="7">
        <v>46010</v>
      </c>
      <c r="G395" s="8">
        <v>0.75</v>
      </c>
      <c r="H395" s="2" t="s">
        <v>239</v>
      </c>
      <c r="I395" s="9" t="str">
        <f>_xlfn.XLOOKUP(Timeform[[#This Row],[Vaardigheid]],Lijsten!C:C,Lijsten!A:A)</f>
        <v>Realiseren</v>
      </c>
    </row>
    <row r="396" spans="2:9" ht="15">
      <c r="B396" s="2" t="s">
        <v>7</v>
      </c>
      <c r="C396" s="2" t="s">
        <v>50</v>
      </c>
      <c r="D396" s="6" t="s">
        <v>171</v>
      </c>
      <c r="E396" s="6" t="s">
        <v>320</v>
      </c>
      <c r="F396" s="7">
        <v>46010</v>
      </c>
      <c r="G396" s="8">
        <v>0.25</v>
      </c>
      <c r="H396" s="2" t="s">
        <v>239</v>
      </c>
      <c r="I396" s="9" t="str">
        <f>_xlfn.XLOOKUP(Timeform[[#This Row],[Vaardigheid]],Lijsten!C:C,Lijsten!A:A)</f>
        <v>Manage &amp; Control</v>
      </c>
    </row>
    <row r="397" spans="2:9" ht="15">
      <c r="B397" s="2" t="s">
        <v>2</v>
      </c>
      <c r="C397" s="2" t="s">
        <v>50</v>
      </c>
      <c r="D397" s="6" t="s">
        <v>171</v>
      </c>
      <c r="E397" s="6" t="s">
        <v>171</v>
      </c>
      <c r="F397" s="7">
        <v>46010</v>
      </c>
      <c r="G397" s="8">
        <v>0.25</v>
      </c>
      <c r="H397" s="2" t="s">
        <v>239</v>
      </c>
      <c r="I397" s="9" t="str">
        <f>_xlfn.XLOOKUP(Timeform[[#This Row],[Vaardigheid]],Lijsten!C:C,Lijsten!A:A)</f>
        <v>Manage &amp; Control</v>
      </c>
    </row>
    <row r="398" spans="2:9" ht="15">
      <c r="B398" s="2" t="s">
        <v>3</v>
      </c>
      <c r="C398" s="2" t="s">
        <v>50</v>
      </c>
      <c r="D398" s="6" t="s">
        <v>171</v>
      </c>
      <c r="E398" s="6" t="s">
        <v>171</v>
      </c>
      <c r="F398" s="7">
        <v>46010</v>
      </c>
      <c r="G398" s="8">
        <v>0.25</v>
      </c>
      <c r="H398" s="2" t="s">
        <v>239</v>
      </c>
      <c r="I398" s="9" t="str">
        <f>_xlfn.XLOOKUP(Timeform[[#This Row],[Vaardigheid]],Lijsten!C:C,Lijsten!A:A)</f>
        <v>Manage &amp; Control</v>
      </c>
    </row>
    <row r="399" spans="2:9" ht="15">
      <c r="B399" s="2" t="s">
        <v>5</v>
      </c>
      <c r="C399" s="2" t="s">
        <v>50</v>
      </c>
      <c r="D399" s="6" t="s">
        <v>171</v>
      </c>
      <c r="E399" s="6" t="s">
        <v>171</v>
      </c>
      <c r="F399" s="7">
        <v>46010</v>
      </c>
      <c r="G399" s="8">
        <v>0.25</v>
      </c>
      <c r="H399" s="2" t="s">
        <v>239</v>
      </c>
      <c r="I399" s="9" t="str">
        <f>_xlfn.XLOOKUP(Timeform[[#This Row],[Vaardigheid]],Lijsten!C:C,Lijsten!A:A)</f>
        <v>Manage &amp; Control</v>
      </c>
    </row>
    <row r="400" spans="2:9" ht="15">
      <c r="B400" s="2" t="s">
        <v>2</v>
      </c>
      <c r="D400" s="6"/>
      <c r="E400" s="6" t="s">
        <v>305</v>
      </c>
      <c r="F400" s="7">
        <v>46010</v>
      </c>
      <c r="G400" s="8"/>
      <c r="H400" s="2" t="s">
        <v>239</v>
      </c>
      <c r="I400" s="9">
        <f>_xlfn.XLOOKUP(Timeform[[#This Row],[Vaardigheid]],Lijsten!C:C,Lijsten!A:A)</f>
        <v>0</v>
      </c>
    </row>
    <row r="401" spans="2:9" ht="15">
      <c r="B401" s="2" t="s">
        <v>7</v>
      </c>
      <c r="C401" s="2" t="s">
        <v>127</v>
      </c>
      <c r="D401" s="6" t="s">
        <v>65</v>
      </c>
      <c r="E401" s="6" t="s">
        <v>321</v>
      </c>
      <c r="F401" s="7">
        <v>46010</v>
      </c>
      <c r="G401" s="8">
        <v>0.25</v>
      </c>
      <c r="H401" s="2" t="s">
        <v>239</v>
      </c>
      <c r="I401" s="9" t="str">
        <f>_xlfn.XLOOKUP(Timeform[[#This Row],[Vaardigheid]],Lijsten!C:C,Lijsten!A:A)</f>
        <v>Ontwerpen</v>
      </c>
    </row>
    <row r="402" spans="2:9" ht="15">
      <c r="B402" s="2" t="s">
        <v>7</v>
      </c>
      <c r="C402" s="2" t="s">
        <v>50</v>
      </c>
      <c r="D402" s="6" t="s">
        <v>260</v>
      </c>
      <c r="E402" s="6" t="s">
        <v>322</v>
      </c>
      <c r="F402" s="7">
        <v>46010</v>
      </c>
      <c r="G402" s="8">
        <v>0.5</v>
      </c>
      <c r="H402" s="2" t="s">
        <v>239</v>
      </c>
      <c r="I402" s="9" t="str">
        <f>_xlfn.XLOOKUP(Timeform[[#This Row],[Vaardigheid]],Lijsten!C:C,Lijsten!A:A)</f>
        <v>Analyseren</v>
      </c>
    </row>
    <row r="403" spans="2:9" ht="15">
      <c r="B403" s="2" t="s">
        <v>7</v>
      </c>
      <c r="C403" s="2" t="s">
        <v>77</v>
      </c>
      <c r="D403" s="6" t="s">
        <v>279</v>
      </c>
      <c r="E403" s="6" t="s">
        <v>318</v>
      </c>
      <c r="F403" s="7">
        <v>46010</v>
      </c>
      <c r="G403" s="8">
        <v>0.1</v>
      </c>
      <c r="H403" s="2" t="s">
        <v>239</v>
      </c>
      <c r="I403" s="9" t="str">
        <f>_xlfn.XLOOKUP(Timeform[[#This Row],[Vaardigheid]],Lijsten!C:C,Lijsten!A:A)</f>
        <v>Realiseren</v>
      </c>
    </row>
    <row r="404" spans="2:9" ht="15">
      <c r="B404" s="127" t="s">
        <v>7</v>
      </c>
      <c r="C404" s="127" t="s">
        <v>50</v>
      </c>
      <c r="D404" s="130" t="s">
        <v>60</v>
      </c>
      <c r="E404" s="130" t="s">
        <v>308</v>
      </c>
      <c r="F404" s="134">
        <v>46010</v>
      </c>
      <c r="G404" s="140">
        <v>1</v>
      </c>
      <c r="H404" s="127" t="s">
        <v>239</v>
      </c>
      <c r="I404" s="88" t="str">
        <f>_xlfn.XLOOKUP(Timeform[[#This Row],[Vaardigheid]],Lijsten!C:C,Lijsten!A:A)</f>
        <v>Realiseren</v>
      </c>
    </row>
    <row r="405" spans="2:9" ht="15">
      <c r="B405" s="2" t="s">
        <v>5</v>
      </c>
      <c r="C405" s="2" t="s">
        <v>37</v>
      </c>
      <c r="D405" s="6" t="s">
        <v>62</v>
      </c>
      <c r="E405" s="6" t="s">
        <v>323</v>
      </c>
      <c r="F405" s="7">
        <v>46010</v>
      </c>
      <c r="G405" s="8">
        <v>1</v>
      </c>
      <c r="H405" s="2" t="s">
        <v>239</v>
      </c>
      <c r="I405" s="9" t="str">
        <f>_xlfn.XLOOKUP(Timeform[[#This Row],[Vaardigheid]],Lijsten!C:C,Lijsten!A:A)</f>
        <v>Manage &amp; Control</v>
      </c>
    </row>
    <row r="406" spans="2:9" ht="15">
      <c r="B406" s="128" t="s">
        <v>5</v>
      </c>
      <c r="C406" s="128" t="s">
        <v>50</v>
      </c>
      <c r="D406" s="131" t="s">
        <v>171</v>
      </c>
      <c r="E406" s="131" t="s">
        <v>171</v>
      </c>
      <c r="F406" s="138">
        <v>46010</v>
      </c>
      <c r="G406" s="141">
        <v>0.5</v>
      </c>
      <c r="H406" s="128" t="s">
        <v>239</v>
      </c>
      <c r="I406" s="88" t="str">
        <f>_xlfn.XLOOKUP(Timeform[[#This Row],[Vaardigheid]],Lijsten!C:C,Lijsten!A:A)</f>
        <v>Manage &amp; Control</v>
      </c>
    </row>
    <row r="407" spans="2:9" ht="15">
      <c r="B407" s="111" t="s">
        <v>7</v>
      </c>
      <c r="C407" s="111" t="s">
        <v>37</v>
      </c>
      <c r="D407" s="116" t="s">
        <v>125</v>
      </c>
      <c r="E407" s="116" t="s">
        <v>324</v>
      </c>
      <c r="F407" s="122">
        <v>46010</v>
      </c>
      <c r="G407" s="125">
        <v>0.75</v>
      </c>
      <c r="H407" s="111" t="s">
        <v>239</v>
      </c>
      <c r="I407" s="9" t="str">
        <f>_xlfn.XLOOKUP(Timeform[[#This Row],[Vaardigheid]],Lijsten!C:C,Lijsten!A:A)</f>
        <v>Analyseren</v>
      </c>
    </row>
    <row r="408" spans="2:9" ht="15">
      <c r="B408" s="2" t="s">
        <v>7</v>
      </c>
      <c r="C408" s="2" t="s">
        <v>77</v>
      </c>
      <c r="D408" s="6" t="s">
        <v>107</v>
      </c>
      <c r="E408" s="6" t="s">
        <v>309</v>
      </c>
      <c r="F408" s="46">
        <v>46010</v>
      </c>
      <c r="G408" s="8">
        <v>0.2</v>
      </c>
      <c r="H408" s="2" t="s">
        <v>239</v>
      </c>
      <c r="I408" s="9" t="str">
        <f>_xlfn.XLOOKUP(Timeform[[#This Row],[Vaardigheid]],Lijsten!C:C,Lijsten!A:A)</f>
        <v>Realiseren</v>
      </c>
    </row>
    <row r="409" spans="2:9" ht="15">
      <c r="B409" s="51" t="s">
        <v>7</v>
      </c>
      <c r="C409" s="25" t="s">
        <v>77</v>
      </c>
      <c r="D409" s="80" t="s">
        <v>255</v>
      </c>
      <c r="E409" s="55" t="s">
        <v>325</v>
      </c>
      <c r="F409" s="118">
        <v>46010</v>
      </c>
      <c r="G409" s="56">
        <v>0.5</v>
      </c>
      <c r="H409" s="51" t="s">
        <v>239</v>
      </c>
      <c r="I409" s="9" t="str">
        <f>_xlfn.XLOOKUP(Timeform[[#This Row],[Vaardigheid]],Lijsten!C:C,Lijsten!A:A)</f>
        <v>Adviseren</v>
      </c>
    </row>
    <row r="410" spans="2:9" ht="43.5">
      <c r="B410" s="2" t="s">
        <v>5</v>
      </c>
      <c r="C410" s="2" t="s">
        <v>127</v>
      </c>
      <c r="D410" s="6" t="s">
        <v>155</v>
      </c>
      <c r="E410" s="6" t="s">
        <v>326</v>
      </c>
      <c r="F410" s="7">
        <v>46010</v>
      </c>
      <c r="G410" s="8">
        <v>3</v>
      </c>
      <c r="H410" s="2" t="s">
        <v>239</v>
      </c>
      <c r="I410" s="9" t="str">
        <f>_xlfn.XLOOKUP(Timeform[[#This Row],[Vaardigheid]],Lijsten!C:C,Lijsten!A:A)</f>
        <v>Realiseren</v>
      </c>
    </row>
    <row r="411" spans="2:9" ht="15">
      <c r="B411" s="2" t="s">
        <v>5</v>
      </c>
      <c r="C411" s="2" t="s">
        <v>77</v>
      </c>
      <c r="D411" s="6" t="s">
        <v>107</v>
      </c>
      <c r="E411" s="6" t="s">
        <v>327</v>
      </c>
      <c r="F411" s="7">
        <v>46010</v>
      </c>
      <c r="G411" s="8">
        <v>0.5</v>
      </c>
      <c r="H411" s="2" t="s">
        <v>239</v>
      </c>
      <c r="I411" s="9" t="str">
        <f>_xlfn.XLOOKUP(Timeform[[#This Row],[Vaardigheid]],Lijsten!C:C,Lijsten!A:A)</f>
        <v>Realiseren</v>
      </c>
    </row>
    <row r="412" spans="2:9" ht="15">
      <c r="B412" s="2" t="s">
        <v>5</v>
      </c>
      <c r="C412" s="2" t="s">
        <v>127</v>
      </c>
      <c r="D412" s="6" t="s">
        <v>155</v>
      </c>
      <c r="E412" s="6" t="s">
        <v>328</v>
      </c>
      <c r="F412" s="7">
        <v>46010</v>
      </c>
      <c r="G412" s="8">
        <v>1</v>
      </c>
      <c r="H412" s="2" t="s">
        <v>239</v>
      </c>
      <c r="I412" s="9" t="str">
        <f>_xlfn.XLOOKUP(Timeform[[#This Row],[Vaardigheid]],Lijsten!C:C,Lijsten!A:A)</f>
        <v>Realiseren</v>
      </c>
    </row>
    <row r="413" spans="2:9" ht="15">
      <c r="B413" s="2" t="s">
        <v>5</v>
      </c>
      <c r="C413" s="2" t="s">
        <v>127</v>
      </c>
      <c r="D413" s="6" t="s">
        <v>286</v>
      </c>
      <c r="E413" s="6" t="s">
        <v>329</v>
      </c>
      <c r="F413" s="7">
        <v>46010</v>
      </c>
      <c r="G413" s="8">
        <v>0.5</v>
      </c>
      <c r="H413" s="2" t="s">
        <v>239</v>
      </c>
      <c r="I413" s="9" t="str">
        <f>_xlfn.XLOOKUP(Timeform[[#This Row],[Vaardigheid]],Lijsten!C:C,Lijsten!A:A)</f>
        <v>Realiseren</v>
      </c>
    </row>
    <row r="414" spans="2:9" ht="15">
      <c r="B414" s="2" t="s">
        <v>5</v>
      </c>
      <c r="C414" s="2" t="s">
        <v>127</v>
      </c>
      <c r="D414" s="6" t="s">
        <v>286</v>
      </c>
      <c r="E414" s="6" t="s">
        <v>330</v>
      </c>
      <c r="F414" s="7">
        <v>46010</v>
      </c>
      <c r="G414" s="8">
        <v>0.5</v>
      </c>
      <c r="H414" s="2" t="s">
        <v>239</v>
      </c>
      <c r="I414" s="9" t="str">
        <f>_xlfn.XLOOKUP(Timeform[[#This Row],[Vaardigheid]],Lijsten!C:C,Lijsten!A:A)</f>
        <v>Realiseren</v>
      </c>
    </row>
    <row r="415" spans="2:9" ht="15">
      <c r="B415" s="2" t="s">
        <v>5</v>
      </c>
      <c r="C415" s="2" t="s">
        <v>50</v>
      </c>
      <c r="D415" s="6" t="s">
        <v>115</v>
      </c>
      <c r="E415" s="6" t="s">
        <v>331</v>
      </c>
      <c r="F415" s="7">
        <v>46010</v>
      </c>
      <c r="G415" s="8">
        <v>0.75</v>
      </c>
      <c r="H415" s="2" t="s">
        <v>239</v>
      </c>
      <c r="I415" s="9" t="str">
        <f>_xlfn.XLOOKUP(Timeform[[#This Row],[Vaardigheid]],Lijsten!C:C,Lijsten!A:A)</f>
        <v>Adviseren</v>
      </c>
    </row>
    <row r="416" spans="2:9" ht="15">
      <c r="B416" s="2" t="s">
        <v>3</v>
      </c>
      <c r="C416" s="81" t="s">
        <v>55</v>
      </c>
      <c r="D416" s="142" t="s">
        <v>109</v>
      </c>
      <c r="E416" s="6" t="s">
        <v>332</v>
      </c>
      <c r="F416" s="7">
        <v>46010</v>
      </c>
      <c r="G416" s="8">
        <v>2</v>
      </c>
      <c r="H416" s="2" t="s">
        <v>239</v>
      </c>
      <c r="I416" s="9" t="str">
        <f>_xlfn.XLOOKUP(Timeform[[#This Row],[Vaardigheid]],Lijsten!C:C,Lijsten!A:A)</f>
        <v>Manage &amp; Control</v>
      </c>
    </row>
    <row r="417" spans="2:9" ht="15">
      <c r="B417" s="2" t="s">
        <v>5</v>
      </c>
      <c r="C417" s="81" t="s">
        <v>55</v>
      </c>
      <c r="D417" s="142" t="s">
        <v>109</v>
      </c>
      <c r="E417" s="6" t="s">
        <v>332</v>
      </c>
      <c r="F417" s="7">
        <v>46010</v>
      </c>
      <c r="G417" s="8">
        <v>2</v>
      </c>
      <c r="H417" s="2" t="s">
        <v>239</v>
      </c>
      <c r="I417" s="9" t="str">
        <f>_xlfn.XLOOKUP(Timeform[[#This Row],[Vaardigheid]],Lijsten!C:C,Lijsten!A:A)</f>
        <v>Manage &amp; Control</v>
      </c>
    </row>
    <row r="418" spans="2:9" ht="15">
      <c r="B418" s="2" t="s">
        <v>2</v>
      </c>
      <c r="C418" s="81" t="s">
        <v>55</v>
      </c>
      <c r="D418" s="142" t="s">
        <v>109</v>
      </c>
      <c r="E418" s="6" t="s">
        <v>332</v>
      </c>
      <c r="F418" s="7">
        <v>46010</v>
      </c>
      <c r="G418" s="8">
        <v>2</v>
      </c>
      <c r="H418" s="2" t="s">
        <v>239</v>
      </c>
      <c r="I418" s="9" t="str">
        <f>_xlfn.XLOOKUP(Timeform[[#This Row],[Vaardigheid]],Lijsten!C:C,Lijsten!A:A)</f>
        <v>Manage &amp; Control</v>
      </c>
    </row>
    <row r="419" spans="2:9" ht="29.25">
      <c r="B419" s="2" t="s">
        <v>5</v>
      </c>
      <c r="C419" s="2" t="s">
        <v>55</v>
      </c>
      <c r="D419" s="6" t="s">
        <v>281</v>
      </c>
      <c r="E419" s="6" t="s">
        <v>333</v>
      </c>
      <c r="F419" s="7">
        <v>46010</v>
      </c>
      <c r="G419" s="8">
        <v>0.5</v>
      </c>
      <c r="H419" s="2" t="s">
        <v>239</v>
      </c>
      <c r="I419" s="9" t="str">
        <f>_xlfn.XLOOKUP(Timeform[[#This Row],[Vaardigheid]],Lijsten!C:C,Lijsten!A:A)</f>
        <v>Manage &amp; Control</v>
      </c>
    </row>
    <row r="420" spans="2:9" ht="15">
      <c r="B420" s="2" t="s">
        <v>5</v>
      </c>
      <c r="C420" s="2" t="s">
        <v>55</v>
      </c>
      <c r="D420" s="6" t="s">
        <v>292</v>
      </c>
      <c r="E420" s="6" t="s">
        <v>334</v>
      </c>
      <c r="F420" s="7">
        <v>46010</v>
      </c>
      <c r="G420" s="8">
        <v>0.1</v>
      </c>
      <c r="H420" s="2" t="s">
        <v>239</v>
      </c>
      <c r="I420" s="9" t="str">
        <f>_xlfn.XLOOKUP(Timeform[[#This Row],[Vaardigheid]],Lijsten!C:C,Lijsten!A:A)</f>
        <v>Realiseren</v>
      </c>
    </row>
    <row r="421" spans="2:9" ht="15">
      <c r="B421" s="2" t="s">
        <v>5</v>
      </c>
      <c r="C421" s="2" t="s">
        <v>55</v>
      </c>
      <c r="D421" s="6" t="s">
        <v>292</v>
      </c>
      <c r="E421" s="6" t="s">
        <v>335</v>
      </c>
      <c r="F421" s="7">
        <v>46010</v>
      </c>
      <c r="G421" s="8">
        <v>0.1</v>
      </c>
      <c r="H421" s="2" t="s">
        <v>239</v>
      </c>
      <c r="I421" s="9" t="str">
        <f>_xlfn.XLOOKUP(Timeform[[#This Row],[Vaardigheid]],Lijsten!C:C,Lijsten!A:A)</f>
        <v>Realiseren</v>
      </c>
    </row>
    <row r="422" spans="2:9" ht="29.25">
      <c r="B422" s="2" t="s">
        <v>5</v>
      </c>
      <c r="C422" s="2" t="s">
        <v>37</v>
      </c>
      <c r="D422" s="6" t="s">
        <v>336</v>
      </c>
      <c r="E422" s="6" t="s">
        <v>337</v>
      </c>
      <c r="F422" s="7">
        <v>46010</v>
      </c>
      <c r="G422" s="8">
        <v>0.75</v>
      </c>
      <c r="H422" s="2" t="s">
        <v>239</v>
      </c>
      <c r="I422" s="9" t="str">
        <f>_xlfn.XLOOKUP(Timeform[[#This Row],[Vaardigheid]],Lijsten!C:C,Lijsten!A:A)</f>
        <v>Analyseren</v>
      </c>
    </row>
    <row r="423" spans="2:9" ht="15">
      <c r="B423" s="2" t="s">
        <v>5</v>
      </c>
      <c r="C423" s="2" t="s">
        <v>37</v>
      </c>
      <c r="D423" s="6" t="s">
        <v>46</v>
      </c>
      <c r="E423" s="6" t="s">
        <v>338</v>
      </c>
      <c r="F423" s="7">
        <v>46010</v>
      </c>
      <c r="G423" s="8">
        <v>0.5</v>
      </c>
      <c r="H423" s="2" t="s">
        <v>239</v>
      </c>
      <c r="I423" s="9" t="str">
        <f>_xlfn.XLOOKUP(Timeform[[#This Row],[Vaardigheid]],Lijsten!C:C,Lijsten!A:A)</f>
        <v>Analyseren</v>
      </c>
    </row>
    <row r="424" spans="2:9" ht="15">
      <c r="B424" s="2" t="s">
        <v>5</v>
      </c>
      <c r="C424" s="2" t="s">
        <v>50</v>
      </c>
      <c r="D424" s="6" t="s">
        <v>71</v>
      </c>
      <c r="E424" s="6" t="s">
        <v>339</v>
      </c>
      <c r="F424" s="7">
        <v>46009</v>
      </c>
      <c r="G424" s="8">
        <v>1</v>
      </c>
      <c r="H424" s="2" t="s">
        <v>239</v>
      </c>
      <c r="I424" s="9" t="str">
        <f>_xlfn.XLOOKUP(Timeform[[#This Row],[Vaardigheid]],Lijsten!C:C,Lijsten!A:A)</f>
        <v>Analyseren</v>
      </c>
    </row>
    <row r="425" spans="2:9" ht="29.25">
      <c r="B425" s="2" t="s">
        <v>5</v>
      </c>
      <c r="C425" s="2" t="s">
        <v>77</v>
      </c>
      <c r="D425" s="6" t="s">
        <v>255</v>
      </c>
      <c r="E425" s="6" t="s">
        <v>340</v>
      </c>
      <c r="F425" s="7">
        <v>46010</v>
      </c>
      <c r="G425" s="8">
        <v>0.5</v>
      </c>
      <c r="H425" s="2" t="s">
        <v>239</v>
      </c>
      <c r="I425" s="9" t="str">
        <f>_xlfn.XLOOKUP(Timeform[[#This Row],[Vaardigheid]],Lijsten!C:C,Lijsten!A:A)</f>
        <v>Adviseren</v>
      </c>
    </row>
    <row r="426" spans="2:9" ht="15">
      <c r="D426" s="6"/>
      <c r="E426" s="6"/>
      <c r="F426" s="7"/>
      <c r="G426" s="8"/>
      <c r="I426" s="9">
        <f>_xlfn.XLOOKUP(Timeform[[#This Row],[Vaardigheid]],Lijsten!C:C,Lijsten!A:A)</f>
        <v>0</v>
      </c>
    </row>
    <row r="427" spans="2:9" ht="15">
      <c r="D427" s="6"/>
      <c r="E427" s="6"/>
      <c r="F427" s="7"/>
      <c r="G427" s="8"/>
      <c r="I427" s="9">
        <f>_xlfn.XLOOKUP(Timeform[[#This Row],[Vaardigheid]],Lijsten!C:C,Lijsten!A:A)</f>
        <v>0</v>
      </c>
    </row>
    <row r="428" spans="2:9" ht="15">
      <c r="D428" s="6"/>
      <c r="E428" s="6"/>
      <c r="F428" s="46"/>
      <c r="G428" s="8"/>
      <c r="I428" s="9">
        <f>_xlfn.XLOOKUP(Timeform[[#This Row],[Vaardigheid]],Lijsten!C:C,Lijsten!A:A)</f>
        <v>0</v>
      </c>
    </row>
    <row r="429" spans="2:9" ht="15">
      <c r="D429" s="6"/>
      <c r="E429" s="6"/>
      <c r="F429" s="46"/>
      <c r="G429" s="8"/>
      <c r="I429" s="9">
        <f>_xlfn.XLOOKUP(Timeform[[#This Row],[Vaardigheid]],Lijsten!C:C,Lijsten!A:A)</f>
        <v>0</v>
      </c>
    </row>
    <row r="430" spans="2:9" ht="15">
      <c r="D430" s="6"/>
      <c r="E430" s="6"/>
      <c r="F430" s="46"/>
      <c r="G430" s="8"/>
      <c r="I430" s="9">
        <f>_xlfn.XLOOKUP(Timeform[[#This Row],[Vaardigheid]],Lijsten!C:C,Lijsten!A:A)</f>
        <v>0</v>
      </c>
    </row>
    <row r="431" spans="2:9" ht="15">
      <c r="D431" s="6"/>
      <c r="E431" s="6"/>
      <c r="F431" s="46"/>
      <c r="G431" s="8"/>
      <c r="I431" s="9">
        <f>_xlfn.XLOOKUP(Timeform[[#This Row],[Vaardigheid]],Lijsten!C:C,Lijsten!A:A)</f>
        <v>0</v>
      </c>
    </row>
    <row r="432" spans="2:9" ht="15">
      <c r="D432" s="6"/>
      <c r="E432" s="6"/>
      <c r="F432" s="46"/>
      <c r="G432" s="8"/>
      <c r="I432" s="9">
        <f>_xlfn.XLOOKUP(Timeform[[#This Row],[Vaardigheid]],Lijsten!C:C,Lijsten!A:A)</f>
        <v>0</v>
      </c>
    </row>
    <row r="433" spans="4:9" ht="15">
      <c r="D433" s="6"/>
      <c r="E433" s="6"/>
      <c r="F433" s="46"/>
      <c r="G433" s="8"/>
      <c r="I433" s="9">
        <f>_xlfn.XLOOKUP(Timeform[[#This Row],[Vaardigheid]],Lijsten!C:C,Lijsten!A:A)</f>
        <v>0</v>
      </c>
    </row>
    <row r="434" spans="4:9" ht="15">
      <c r="D434" s="6"/>
      <c r="E434" s="6"/>
      <c r="F434" s="46"/>
      <c r="G434" s="8"/>
      <c r="I434" s="9">
        <f>_xlfn.XLOOKUP(Timeform[[#This Row],[Vaardigheid]],Lijsten!C:C,Lijsten!A:A)</f>
        <v>0</v>
      </c>
    </row>
    <row r="435" spans="4:9" ht="15">
      <c r="D435" s="6"/>
      <c r="E435" s="6"/>
      <c r="F435" s="46"/>
      <c r="G435" s="8"/>
      <c r="I435" s="9">
        <f>_xlfn.XLOOKUP(Timeform[[#This Row],[Vaardigheid]],Lijsten!C:C,Lijsten!A:A)</f>
        <v>0</v>
      </c>
    </row>
    <row r="436" spans="4:9" ht="15">
      <c r="D436" s="6"/>
      <c r="E436" s="6"/>
      <c r="F436" s="46"/>
      <c r="G436" s="8"/>
      <c r="I436" s="9">
        <f>_xlfn.XLOOKUP(Timeform[[#This Row],[Vaardigheid]],Lijsten!C:C,Lijsten!A:A)</f>
        <v>0</v>
      </c>
    </row>
    <row r="437" spans="4:9" ht="15">
      <c r="D437" s="6"/>
      <c r="E437" s="6"/>
      <c r="F437" s="46"/>
      <c r="G437" s="8"/>
      <c r="I437" s="9">
        <f>_xlfn.XLOOKUP(Timeform[[#This Row],[Vaardigheid]],Lijsten!C:C,Lijsten!A:A)</f>
        <v>0</v>
      </c>
    </row>
    <row r="438" spans="4:9" ht="15">
      <c r="D438" s="6"/>
      <c r="E438" s="6"/>
      <c r="F438" s="46"/>
      <c r="G438" s="8"/>
      <c r="I438" s="9">
        <f>_xlfn.XLOOKUP(Timeform[[#This Row],[Vaardigheid]],Lijsten!C:C,Lijsten!A:A)</f>
        <v>0</v>
      </c>
    </row>
    <row r="439" spans="4:9" ht="15">
      <c r="D439" s="6"/>
      <c r="E439" s="6"/>
      <c r="F439" s="46"/>
      <c r="G439" s="8"/>
      <c r="I439" s="9">
        <f>_xlfn.XLOOKUP(Timeform[[#This Row],[Vaardigheid]],Lijsten!C:C,Lijsten!A:A)</f>
        <v>0</v>
      </c>
    </row>
    <row r="440" spans="4:9" ht="15">
      <c r="D440" s="6"/>
      <c r="E440" s="6"/>
      <c r="F440" s="46"/>
      <c r="G440" s="8"/>
      <c r="I440" s="9">
        <f>_xlfn.XLOOKUP(Timeform[[#This Row],[Vaardigheid]],Lijsten!C:C,Lijsten!A:A)</f>
        <v>0</v>
      </c>
    </row>
    <row r="441" spans="4:9" ht="15">
      <c r="D441" s="6"/>
      <c r="E441" s="6"/>
      <c r="F441" s="46"/>
      <c r="G441" s="8"/>
      <c r="I441" s="9">
        <f>_xlfn.XLOOKUP(Timeform[[#This Row],[Vaardigheid]],Lijsten!C:C,Lijsten!A:A)</f>
        <v>0</v>
      </c>
    </row>
    <row r="442" spans="4:9" ht="15">
      <c r="D442" s="6"/>
      <c r="E442" s="6"/>
      <c r="F442" s="46"/>
      <c r="G442" s="8"/>
      <c r="I442" s="9">
        <f>_xlfn.XLOOKUP(Timeform[[#This Row],[Vaardigheid]],Lijsten!C:C,Lijsten!A:A)</f>
        <v>0</v>
      </c>
    </row>
    <row r="443" spans="4:9" ht="15">
      <c r="D443" s="6"/>
      <c r="E443" s="6"/>
      <c r="F443" s="46"/>
      <c r="G443" s="8"/>
      <c r="I443" s="9">
        <f>_xlfn.XLOOKUP(Timeform[[#This Row],[Vaardigheid]],Lijsten!C:C,Lijsten!A:A)</f>
        <v>0</v>
      </c>
    </row>
    <row r="444" spans="4:9" ht="15">
      <c r="D444" s="6"/>
      <c r="E444" s="6"/>
      <c r="F444" s="46"/>
      <c r="G444" s="8"/>
      <c r="I444" s="9">
        <f>_xlfn.XLOOKUP(Timeform[[#This Row],[Vaardigheid]],Lijsten!C:C,Lijsten!A:A)</f>
        <v>0</v>
      </c>
    </row>
    <row r="445" spans="4:9" ht="15">
      <c r="D445" s="6"/>
      <c r="E445" s="6"/>
      <c r="F445" s="46"/>
      <c r="G445" s="8"/>
      <c r="I445" s="9">
        <f>_xlfn.XLOOKUP(Timeform[[#This Row],[Vaardigheid]],Lijsten!C:C,Lijsten!A:A)</f>
        <v>0</v>
      </c>
    </row>
    <row r="446" spans="4:9" ht="15">
      <c r="D446" s="6"/>
      <c r="E446" s="6"/>
      <c r="F446" s="46"/>
      <c r="G446" s="8"/>
      <c r="I446" s="9">
        <f>_xlfn.XLOOKUP(Timeform[[#This Row],[Vaardigheid]],Lijsten!C:C,Lijsten!A:A)</f>
        <v>0</v>
      </c>
    </row>
    <row r="447" spans="4:9" ht="15">
      <c r="D447" s="6"/>
      <c r="E447" s="6"/>
      <c r="F447" s="46"/>
      <c r="G447" s="8"/>
      <c r="I447" s="9">
        <f>_xlfn.XLOOKUP(Timeform[[#This Row],[Vaardigheid]],Lijsten!C:C,Lijsten!A:A)</f>
        <v>0</v>
      </c>
    </row>
    <row r="448" spans="4:9" ht="15">
      <c r="D448" s="6"/>
      <c r="E448" s="6"/>
      <c r="F448" s="46"/>
      <c r="G448" s="8"/>
      <c r="I448" s="9">
        <f>_xlfn.XLOOKUP(Timeform[[#This Row],[Vaardigheid]],Lijsten!C:C,Lijsten!A:A)</f>
        <v>0</v>
      </c>
    </row>
    <row r="449" spans="4:9" ht="15">
      <c r="D449" s="6"/>
      <c r="E449" s="6"/>
      <c r="F449" s="46"/>
      <c r="G449" s="8"/>
      <c r="I449" s="9">
        <f>_xlfn.XLOOKUP(Timeform[[#This Row],[Vaardigheid]],Lijsten!C:C,Lijsten!A:A)</f>
        <v>0</v>
      </c>
    </row>
    <row r="450" spans="4:9" ht="15">
      <c r="D450" s="6"/>
      <c r="E450" s="6"/>
      <c r="F450" s="46"/>
      <c r="G450" s="8"/>
      <c r="I450" s="9">
        <f>_xlfn.XLOOKUP(Timeform[[#This Row],[Vaardigheid]],Lijsten!C:C,Lijsten!A:A)</f>
        <v>0</v>
      </c>
    </row>
    <row r="451" spans="4:9" ht="15">
      <c r="D451" s="6"/>
      <c r="E451" s="6"/>
      <c r="F451" s="46"/>
      <c r="G451" s="8"/>
      <c r="I451" s="9">
        <f>_xlfn.XLOOKUP(Timeform[[#This Row],[Vaardigheid]],Lijsten!C:C,Lijsten!A:A)</f>
        <v>0</v>
      </c>
    </row>
    <row r="452" spans="4:9" ht="15">
      <c r="D452" s="6"/>
      <c r="E452" s="6"/>
      <c r="F452" s="46"/>
      <c r="G452" s="8"/>
      <c r="I452" s="9">
        <f>_xlfn.XLOOKUP(Timeform[[#This Row],[Vaardigheid]],Lijsten!C:C,Lijsten!A:A)</f>
        <v>0</v>
      </c>
    </row>
    <row r="453" spans="4:9" ht="15">
      <c r="D453" s="6"/>
      <c r="E453" s="6"/>
      <c r="F453" s="46"/>
      <c r="G453" s="8"/>
      <c r="I453" s="9">
        <f>_xlfn.XLOOKUP(Timeform[[#This Row],[Vaardigheid]],Lijsten!C:C,Lijsten!A:A)</f>
        <v>0</v>
      </c>
    </row>
    <row r="454" spans="4:9" ht="15">
      <c r="D454" s="6"/>
      <c r="E454" s="6"/>
      <c r="F454" s="46"/>
      <c r="G454" s="8"/>
      <c r="I454" s="9">
        <f>_xlfn.XLOOKUP(Timeform[[#This Row],[Vaardigheid]],Lijsten!C:C,Lijsten!A:A)</f>
        <v>0</v>
      </c>
    </row>
    <row r="455" spans="4:9" ht="15">
      <c r="D455" s="6"/>
      <c r="E455" s="6"/>
      <c r="F455" s="46"/>
      <c r="G455" s="8"/>
      <c r="I455" s="9">
        <f>_xlfn.XLOOKUP(Timeform[[#This Row],[Vaardigheid]],Lijsten!C:C,Lijsten!A:A)</f>
        <v>0</v>
      </c>
    </row>
    <row r="456" spans="4:9" ht="15">
      <c r="D456" s="6"/>
      <c r="E456" s="6"/>
      <c r="F456" s="46"/>
      <c r="G456" s="8"/>
      <c r="I456" s="9">
        <f>_xlfn.XLOOKUP(Timeform[[#This Row],[Vaardigheid]],Lijsten!C:C,Lijsten!A:A)</f>
        <v>0</v>
      </c>
    </row>
    <row r="457" spans="4:9" ht="15">
      <c r="D457" s="6"/>
      <c r="E457" s="6"/>
      <c r="F457" s="46"/>
      <c r="G457" s="8"/>
      <c r="I457" s="9">
        <f>_xlfn.XLOOKUP(Timeform[[#This Row],[Vaardigheid]],Lijsten!C:C,Lijsten!A:A)</f>
        <v>0</v>
      </c>
    </row>
    <row r="458" spans="4:9" ht="15">
      <c r="D458" s="6"/>
      <c r="E458" s="6"/>
      <c r="F458" s="46"/>
      <c r="G458" s="8"/>
      <c r="I458" s="9">
        <f>_xlfn.XLOOKUP(Timeform[[#This Row],[Vaardigheid]],Lijsten!C:C,Lijsten!A:A)</f>
        <v>0</v>
      </c>
    </row>
    <row r="459" spans="4:9" ht="15">
      <c r="D459" s="6"/>
      <c r="E459" s="6"/>
      <c r="F459" s="46"/>
      <c r="G459" s="8"/>
      <c r="I459" s="9">
        <f>_xlfn.XLOOKUP(Timeform[[#This Row],[Vaardigheid]],Lijsten!C:C,Lijsten!A:A)</f>
        <v>0</v>
      </c>
    </row>
    <row r="460" spans="4:9" ht="15">
      <c r="D460" s="6"/>
      <c r="E460" s="6"/>
      <c r="F460" s="46"/>
      <c r="G460" s="8"/>
      <c r="I460" s="9">
        <f>_xlfn.XLOOKUP(Timeform[[#This Row],[Vaardigheid]],Lijsten!C:C,Lijsten!A:A)</f>
        <v>0</v>
      </c>
    </row>
    <row r="461" spans="4:9" ht="15">
      <c r="D461" s="6"/>
      <c r="E461" s="6"/>
      <c r="F461" s="46"/>
      <c r="G461" s="8"/>
      <c r="I461" s="9">
        <f>_xlfn.XLOOKUP(Timeform[[#This Row],[Vaardigheid]],Lijsten!C:C,Lijsten!A:A)</f>
        <v>0</v>
      </c>
    </row>
    <row r="462" spans="4:9" ht="15">
      <c r="D462" s="6"/>
      <c r="E462" s="6"/>
      <c r="F462" s="46"/>
      <c r="G462" s="8"/>
      <c r="I462" s="9">
        <f>_xlfn.XLOOKUP(Timeform[[#This Row],[Vaardigheid]],Lijsten!C:C,Lijsten!A:A)</f>
        <v>0</v>
      </c>
    </row>
    <row r="463" spans="4:9" ht="15">
      <c r="D463" s="6"/>
      <c r="E463" s="6"/>
      <c r="F463" s="46"/>
      <c r="G463" s="8"/>
      <c r="I463" s="9">
        <f>_xlfn.XLOOKUP(Timeform[[#This Row],[Vaardigheid]],Lijsten!C:C,Lijsten!A:A)</f>
        <v>0</v>
      </c>
    </row>
    <row r="464" spans="4:9" ht="15">
      <c r="D464" s="6"/>
      <c r="E464" s="6"/>
      <c r="F464" s="46"/>
      <c r="G464" s="8"/>
      <c r="I464" s="9">
        <f>_xlfn.XLOOKUP(Timeform[[#This Row],[Vaardigheid]],Lijsten!C:C,Lijsten!A:A)</f>
        <v>0</v>
      </c>
    </row>
    <row r="465" spans="4:9" ht="15">
      <c r="D465" s="6"/>
      <c r="E465" s="6"/>
      <c r="F465" s="46"/>
      <c r="G465" s="8"/>
      <c r="I465" s="9">
        <f>_xlfn.XLOOKUP(Timeform[[#This Row],[Vaardigheid]],Lijsten!C:C,Lijsten!A:A)</f>
        <v>0</v>
      </c>
    </row>
    <row r="466" spans="4:9" ht="15">
      <c r="D466" s="6"/>
      <c r="E466" s="6"/>
      <c r="F466" s="46"/>
      <c r="G466" s="8"/>
      <c r="I466" s="9">
        <f>_xlfn.XLOOKUP(Timeform[[#This Row],[Vaardigheid]],Lijsten!C:C,Lijsten!A:A)</f>
        <v>0</v>
      </c>
    </row>
    <row r="467" spans="4:9" ht="15">
      <c r="D467" s="6"/>
      <c r="E467" s="6"/>
      <c r="F467" s="46"/>
      <c r="G467" s="8"/>
      <c r="I467" s="9">
        <f>_xlfn.XLOOKUP(Timeform[[#This Row],[Vaardigheid]],Lijsten!C:C,Lijsten!A:A)</f>
        <v>0</v>
      </c>
    </row>
    <row r="468" spans="4:9" ht="15">
      <c r="D468" s="6"/>
      <c r="E468" s="6"/>
      <c r="F468" s="46"/>
      <c r="G468" s="8"/>
      <c r="I468" s="9">
        <f>_xlfn.XLOOKUP(Timeform[[#This Row],[Vaardigheid]],Lijsten!C:C,Lijsten!A:A)</f>
        <v>0</v>
      </c>
    </row>
    <row r="469" spans="4:9" ht="15">
      <c r="D469" s="6"/>
      <c r="E469" s="6"/>
      <c r="F469" s="46"/>
      <c r="G469" s="8"/>
      <c r="I469" s="9">
        <f>_xlfn.XLOOKUP(Timeform[[#This Row],[Vaardigheid]],Lijsten!C:C,Lijsten!A:A)</f>
        <v>0</v>
      </c>
    </row>
    <row r="470" spans="4:9" ht="15">
      <c r="D470" s="6"/>
      <c r="E470" s="6"/>
      <c r="F470" s="46"/>
      <c r="G470" s="8"/>
      <c r="I470" s="9">
        <f>_xlfn.XLOOKUP(Timeform[[#This Row],[Vaardigheid]],Lijsten!C:C,Lijsten!A:A)</f>
        <v>0</v>
      </c>
    </row>
    <row r="471" spans="4:9" ht="15">
      <c r="D471" s="6"/>
      <c r="E471" s="6"/>
      <c r="F471" s="46"/>
      <c r="G471" s="8"/>
      <c r="I471" s="9">
        <f>_xlfn.XLOOKUP(Timeform[[#This Row],[Vaardigheid]],Lijsten!C:C,Lijsten!A:A)</f>
        <v>0</v>
      </c>
    </row>
    <row r="472" spans="4:9" ht="15">
      <c r="D472" s="6"/>
      <c r="E472" s="6"/>
      <c r="F472" s="46"/>
      <c r="G472" s="8"/>
      <c r="I472" s="9">
        <f>_xlfn.XLOOKUP(Timeform[[#This Row],[Vaardigheid]],Lijsten!C:C,Lijsten!A:A)</f>
        <v>0</v>
      </c>
    </row>
    <row r="473" spans="4:9" ht="15">
      <c r="D473" s="6"/>
      <c r="E473" s="6"/>
      <c r="F473" s="46"/>
      <c r="G473" s="8"/>
      <c r="I473" s="9">
        <f>_xlfn.XLOOKUP(Timeform[[#This Row],[Vaardigheid]],Lijsten!C:C,Lijsten!A:A)</f>
        <v>0</v>
      </c>
    </row>
    <row r="474" spans="4:9" ht="15">
      <c r="D474" s="6"/>
      <c r="E474" s="6"/>
      <c r="F474" s="46"/>
      <c r="G474" s="8"/>
      <c r="I474" s="9">
        <f>_xlfn.XLOOKUP(Timeform[[#This Row],[Vaardigheid]],Lijsten!C:C,Lijsten!A:A)</f>
        <v>0</v>
      </c>
    </row>
    <row r="475" spans="4:9" ht="15">
      <c r="D475" s="6"/>
      <c r="E475" s="6"/>
      <c r="F475" s="46"/>
      <c r="G475" s="8"/>
      <c r="I475" s="9">
        <f>_xlfn.XLOOKUP(Timeform[[#This Row],[Vaardigheid]],Lijsten!C:C,Lijsten!A:A)</f>
        <v>0</v>
      </c>
    </row>
    <row r="476" spans="4:9" ht="15">
      <c r="D476" s="6"/>
      <c r="E476" s="6"/>
      <c r="F476" s="46"/>
      <c r="G476" s="8"/>
      <c r="I476" s="9">
        <f>_xlfn.XLOOKUP(Timeform[[#This Row],[Vaardigheid]],Lijsten!C:C,Lijsten!A:A)</f>
        <v>0</v>
      </c>
    </row>
    <row r="477" spans="4:9" ht="15">
      <c r="D477" s="6"/>
      <c r="E477" s="6"/>
      <c r="F477" s="46"/>
      <c r="G477" s="8"/>
      <c r="I477" s="9">
        <f>_xlfn.XLOOKUP(Timeform[[#This Row],[Vaardigheid]],Lijsten!C:C,Lijsten!A:A)</f>
        <v>0</v>
      </c>
    </row>
    <row r="478" spans="4:9" ht="15">
      <c r="D478" s="6"/>
      <c r="E478" s="6"/>
      <c r="F478" s="46"/>
      <c r="G478" s="8"/>
      <c r="I478" s="9">
        <f>_xlfn.XLOOKUP(Timeform[[#This Row],[Vaardigheid]],Lijsten!C:C,Lijsten!A:A)</f>
        <v>0</v>
      </c>
    </row>
    <row r="479" spans="4:9" ht="15">
      <c r="D479" s="6"/>
      <c r="E479" s="6"/>
      <c r="F479" s="46"/>
      <c r="G479" s="8"/>
      <c r="I479" s="9">
        <f>_xlfn.XLOOKUP(Timeform[[#This Row],[Vaardigheid]],Lijsten!C:C,Lijsten!A:A)</f>
        <v>0</v>
      </c>
    </row>
    <row r="480" spans="4:9" ht="15">
      <c r="D480" s="6"/>
      <c r="E480" s="6"/>
      <c r="F480" s="46"/>
      <c r="G480" s="8"/>
      <c r="I480" s="9">
        <f>_xlfn.XLOOKUP(Timeform[[#This Row],[Vaardigheid]],Lijsten!C:C,Lijsten!A:A)</f>
        <v>0</v>
      </c>
    </row>
    <row r="481" spans="4:9" ht="15">
      <c r="D481" s="6"/>
      <c r="E481" s="6"/>
      <c r="F481" s="46"/>
      <c r="G481" s="8"/>
      <c r="I481" s="9">
        <f>_xlfn.XLOOKUP(Timeform[[#This Row],[Vaardigheid]],Lijsten!C:C,Lijsten!A:A)</f>
        <v>0</v>
      </c>
    </row>
    <row r="482" spans="4:9" ht="15">
      <c r="D482" s="6"/>
      <c r="E482" s="6"/>
      <c r="F482" s="46"/>
      <c r="G482" s="8"/>
      <c r="I482" s="9">
        <f>_xlfn.XLOOKUP(Timeform[[#This Row],[Vaardigheid]],Lijsten!C:C,Lijsten!A:A)</f>
        <v>0</v>
      </c>
    </row>
    <row r="483" spans="4:9" ht="15">
      <c r="D483" s="6"/>
      <c r="E483" s="6"/>
      <c r="F483" s="46"/>
      <c r="G483" s="8"/>
      <c r="I483" s="9">
        <f>_xlfn.XLOOKUP(Timeform[[#This Row],[Vaardigheid]],Lijsten!C:C,Lijsten!A:A)</f>
        <v>0</v>
      </c>
    </row>
    <row r="484" spans="4:9" ht="15">
      <c r="D484" s="6"/>
      <c r="E484" s="6"/>
      <c r="F484" s="46"/>
      <c r="G484" s="8"/>
      <c r="I484" s="9">
        <f>_xlfn.XLOOKUP(Timeform[[#This Row],[Vaardigheid]],Lijsten!C:C,Lijsten!A:A)</f>
        <v>0</v>
      </c>
    </row>
    <row r="485" spans="4:9" ht="15">
      <c r="D485" s="6"/>
      <c r="E485" s="6"/>
      <c r="F485" s="46"/>
      <c r="G485" s="8"/>
      <c r="I485" s="9">
        <f>_xlfn.XLOOKUP(Timeform[[#This Row],[Vaardigheid]],Lijsten!C:C,Lijsten!A:A)</f>
        <v>0</v>
      </c>
    </row>
    <row r="486" spans="4:9" ht="15">
      <c r="D486" s="6"/>
      <c r="E486" s="6"/>
      <c r="F486" s="46"/>
      <c r="G486" s="8"/>
      <c r="I486" s="9">
        <f>_xlfn.XLOOKUP(Timeform[[#This Row],[Vaardigheid]],Lijsten!C:C,Lijsten!A:A)</f>
        <v>0</v>
      </c>
    </row>
    <row r="487" spans="4:9" ht="15">
      <c r="D487" s="6"/>
      <c r="E487" s="6"/>
      <c r="F487" s="46"/>
      <c r="G487" s="8"/>
      <c r="I487" s="9">
        <f>_xlfn.XLOOKUP(Timeform[[#This Row],[Vaardigheid]],Lijsten!C:C,Lijsten!A:A)</f>
        <v>0</v>
      </c>
    </row>
    <row r="488" spans="4:9" ht="15">
      <c r="D488" s="6"/>
      <c r="E488" s="6"/>
      <c r="F488" s="46"/>
      <c r="G488" s="8"/>
      <c r="I488" s="9">
        <f>_xlfn.XLOOKUP(Timeform[[#This Row],[Vaardigheid]],Lijsten!C:C,Lijsten!A:A)</f>
        <v>0</v>
      </c>
    </row>
    <row r="489" spans="4:9" ht="15">
      <c r="D489" s="6"/>
      <c r="E489" s="6"/>
      <c r="F489" s="46"/>
      <c r="G489" s="8"/>
      <c r="I489" s="9">
        <f>_xlfn.XLOOKUP(Timeform[[#This Row],[Vaardigheid]],Lijsten!C:C,Lijsten!A:A)</f>
        <v>0</v>
      </c>
    </row>
    <row r="490" spans="4:9" ht="15">
      <c r="D490" s="6"/>
      <c r="E490" s="6"/>
      <c r="F490" s="46"/>
      <c r="G490" s="8"/>
      <c r="I490" s="9">
        <f>_xlfn.XLOOKUP(Timeform[[#This Row],[Vaardigheid]],Lijsten!C:C,Lijsten!A:A)</f>
        <v>0</v>
      </c>
    </row>
    <row r="491" spans="4:9" ht="15">
      <c r="D491" s="6"/>
      <c r="E491" s="6"/>
      <c r="F491" s="46"/>
      <c r="G491" s="8"/>
      <c r="I491" s="9">
        <f>_xlfn.XLOOKUP(Timeform[[#This Row],[Vaardigheid]],Lijsten!C:C,Lijsten!A:A)</f>
        <v>0</v>
      </c>
    </row>
    <row r="492" spans="4:9" ht="15">
      <c r="D492" s="6"/>
      <c r="E492" s="6"/>
      <c r="F492" s="46"/>
      <c r="G492" s="8"/>
      <c r="I492" s="9">
        <f>_xlfn.XLOOKUP(Timeform[[#This Row],[Vaardigheid]],Lijsten!C:C,Lijsten!A:A)</f>
        <v>0</v>
      </c>
    </row>
    <row r="493" spans="4:9" ht="15">
      <c r="D493" s="6"/>
      <c r="E493" s="6"/>
      <c r="F493" s="46"/>
      <c r="G493" s="8"/>
      <c r="I493" s="9">
        <f>_xlfn.XLOOKUP(Timeform[[#This Row],[Vaardigheid]],Lijsten!C:C,Lijsten!A:A)</f>
        <v>0</v>
      </c>
    </row>
    <row r="494" spans="4:9" ht="15">
      <c r="D494" s="6"/>
      <c r="E494" s="6"/>
      <c r="F494" s="46"/>
      <c r="G494" s="8"/>
      <c r="I494" s="9">
        <f>_xlfn.XLOOKUP(Timeform[[#This Row],[Vaardigheid]],Lijsten!C:C,Lijsten!A:A)</f>
        <v>0</v>
      </c>
    </row>
    <row r="495" spans="4:9" ht="15">
      <c r="D495" s="6"/>
      <c r="E495" s="6"/>
      <c r="F495" s="46"/>
      <c r="G495" s="8"/>
      <c r="I495" s="9">
        <f>_xlfn.XLOOKUP(Timeform[[#This Row],[Vaardigheid]],Lijsten!C:C,Lijsten!A:A)</f>
        <v>0</v>
      </c>
    </row>
    <row r="496" spans="4:9" ht="15">
      <c r="D496" s="6"/>
      <c r="E496" s="6"/>
      <c r="F496" s="46"/>
      <c r="G496" s="8"/>
      <c r="I496" s="9">
        <f>_xlfn.XLOOKUP(Timeform[[#This Row],[Vaardigheid]],Lijsten!C:C,Lijsten!A:A)</f>
        <v>0</v>
      </c>
    </row>
    <row r="497" spans="4:9" ht="15">
      <c r="D497" s="6"/>
      <c r="E497" s="6"/>
      <c r="F497" s="46"/>
      <c r="G497" s="8"/>
      <c r="I497" s="9">
        <f>_xlfn.XLOOKUP(Timeform[[#This Row],[Vaardigheid]],Lijsten!C:C,Lijsten!A:A)</f>
        <v>0</v>
      </c>
    </row>
    <row r="498" spans="4:9" ht="15">
      <c r="D498" s="6"/>
      <c r="E498" s="6"/>
      <c r="F498" s="46"/>
      <c r="G498" s="8"/>
      <c r="I498" s="9">
        <f>_xlfn.XLOOKUP(Timeform[[#This Row],[Vaardigheid]],Lijsten!C:C,Lijsten!A:A)</f>
        <v>0</v>
      </c>
    </row>
    <row r="499" spans="4:9" ht="15">
      <c r="D499" s="6"/>
      <c r="E499" s="6"/>
      <c r="F499" s="46"/>
      <c r="G499" s="8"/>
      <c r="I499" s="9">
        <f>_xlfn.XLOOKUP(Timeform[[#This Row],[Vaardigheid]],Lijsten!C:C,Lijsten!A:A)</f>
        <v>0</v>
      </c>
    </row>
    <row r="500" spans="4:9" ht="15">
      <c r="D500" s="6"/>
      <c r="E500" s="6"/>
      <c r="F500" s="46"/>
      <c r="G500" s="8"/>
      <c r="I500" s="9">
        <f>_xlfn.XLOOKUP(Timeform[[#This Row],[Vaardigheid]],Lijsten!C:C,Lijsten!A:A)</f>
        <v>0</v>
      </c>
    </row>
    <row r="501" spans="4:9" ht="15">
      <c r="D501" s="6"/>
      <c r="E501" s="6"/>
      <c r="F501" s="46"/>
      <c r="G501" s="8"/>
      <c r="I501" s="9">
        <f>_xlfn.XLOOKUP(Timeform[[#This Row],[Vaardigheid]],Lijsten!C:C,Lijsten!A:A)</f>
        <v>0</v>
      </c>
    </row>
    <row r="502" spans="4:9" ht="15">
      <c r="D502" s="6"/>
      <c r="E502" s="6"/>
      <c r="F502" s="46"/>
      <c r="G502" s="8"/>
      <c r="I502" s="9">
        <f>_xlfn.XLOOKUP(Timeform[[#This Row],[Vaardigheid]],Lijsten!C:C,Lijsten!A:A)</f>
        <v>0</v>
      </c>
    </row>
    <row r="503" spans="4:9" ht="15">
      <c r="D503" s="6"/>
      <c r="E503" s="6"/>
      <c r="F503" s="46"/>
      <c r="G503" s="8"/>
      <c r="I503" s="9">
        <f>_xlfn.XLOOKUP(Timeform[[#This Row],[Vaardigheid]],Lijsten!C:C,Lijsten!A:A)</f>
        <v>0</v>
      </c>
    </row>
    <row r="504" spans="4:9" ht="15">
      <c r="D504" s="6"/>
      <c r="E504" s="6"/>
      <c r="F504" s="46"/>
      <c r="G504" s="8"/>
      <c r="I504" s="9">
        <f>_xlfn.XLOOKUP(Timeform[[#This Row],[Vaardigheid]],Lijsten!C:C,Lijsten!A:A)</f>
        <v>0</v>
      </c>
    </row>
    <row r="505" spans="4:9" ht="15">
      <c r="D505" s="6"/>
      <c r="E505" s="6"/>
      <c r="F505" s="46"/>
      <c r="G505" s="8"/>
      <c r="I505" s="9">
        <f>_xlfn.XLOOKUP(Timeform[[#This Row],[Vaardigheid]],Lijsten!C:C,Lijsten!A:A)</f>
        <v>0</v>
      </c>
    </row>
    <row r="506" spans="4:9" ht="15">
      <c r="D506" s="6"/>
      <c r="E506" s="6"/>
      <c r="F506" s="46"/>
      <c r="G506" s="8"/>
      <c r="I506" s="9">
        <f>_xlfn.XLOOKUP(Timeform[[#This Row],[Vaardigheid]],Lijsten!C:C,Lijsten!A:A)</f>
        <v>0</v>
      </c>
    </row>
    <row r="507" spans="4:9" ht="15">
      <c r="D507" s="6"/>
      <c r="E507" s="6"/>
      <c r="F507" s="46"/>
      <c r="G507" s="8"/>
      <c r="I507" s="9">
        <f>_xlfn.XLOOKUP(Timeform[[#This Row],[Vaardigheid]],Lijsten!C:C,Lijsten!A:A)</f>
        <v>0</v>
      </c>
    </row>
    <row r="508" spans="4:9" ht="15">
      <c r="D508" s="6"/>
      <c r="E508" s="6"/>
      <c r="F508" s="46"/>
      <c r="G508" s="8"/>
      <c r="I508" s="9">
        <f>_xlfn.XLOOKUP(Timeform[[#This Row],[Vaardigheid]],Lijsten!C:C,Lijsten!A:A)</f>
        <v>0</v>
      </c>
    </row>
    <row r="509" spans="4:9" ht="15">
      <c r="D509" s="6"/>
      <c r="E509" s="6"/>
      <c r="F509" s="46"/>
      <c r="G509" s="8"/>
      <c r="I509" s="9">
        <f>_xlfn.XLOOKUP(Timeform[[#This Row],[Vaardigheid]],Lijsten!C:C,Lijsten!A:A)</f>
        <v>0</v>
      </c>
    </row>
    <row r="510" spans="4:9" ht="15">
      <c r="D510" s="6"/>
      <c r="E510" s="6"/>
      <c r="F510" s="46"/>
      <c r="G510" s="8"/>
      <c r="I510" s="9">
        <f>_xlfn.XLOOKUP(Timeform[[#This Row],[Vaardigheid]],Lijsten!C:C,Lijsten!A:A)</f>
        <v>0</v>
      </c>
    </row>
    <row r="511" spans="4:9" ht="15">
      <c r="D511" s="6"/>
      <c r="E511" s="6"/>
      <c r="F511" s="46"/>
      <c r="G511" s="8"/>
      <c r="I511" s="9">
        <f>_xlfn.XLOOKUP(Timeform[[#This Row],[Vaardigheid]],Lijsten!C:C,Lijsten!A:A)</f>
        <v>0</v>
      </c>
    </row>
    <row r="512" spans="4:9" ht="15">
      <c r="D512" s="6"/>
      <c r="E512" s="6"/>
      <c r="F512" s="46"/>
      <c r="G512" s="8"/>
      <c r="I512" s="9">
        <f>_xlfn.XLOOKUP(Timeform[[#This Row],[Vaardigheid]],Lijsten!C:C,Lijsten!A:A)</f>
        <v>0</v>
      </c>
    </row>
    <row r="513" spans="4:9" ht="15">
      <c r="D513" s="6"/>
      <c r="E513" s="6"/>
      <c r="F513" s="46"/>
      <c r="G513" s="8"/>
      <c r="I513" s="9">
        <f>_xlfn.XLOOKUP(Timeform[[#This Row],[Vaardigheid]],Lijsten!C:C,Lijsten!A:A)</f>
        <v>0</v>
      </c>
    </row>
    <row r="514" spans="4:9" ht="15">
      <c r="D514" s="6"/>
      <c r="E514" s="6"/>
      <c r="F514" s="46"/>
      <c r="G514" s="8"/>
      <c r="I514" s="9">
        <f>_xlfn.XLOOKUP(Timeform[[#This Row],[Vaardigheid]],Lijsten!C:C,Lijsten!A:A)</f>
        <v>0</v>
      </c>
    </row>
    <row r="515" spans="4:9" ht="15">
      <c r="D515" s="6"/>
      <c r="E515" s="6"/>
      <c r="F515" s="46"/>
      <c r="G515" s="8"/>
      <c r="I515" s="9">
        <f>_xlfn.XLOOKUP(Timeform[[#This Row],[Vaardigheid]],Lijsten!C:C,Lijsten!A:A)</f>
        <v>0</v>
      </c>
    </row>
    <row r="516" spans="4:9" ht="15">
      <c r="D516" s="6"/>
      <c r="E516" s="6"/>
      <c r="F516" s="46"/>
      <c r="G516" s="8"/>
      <c r="I516" s="9">
        <f>_xlfn.XLOOKUP(Timeform[[#This Row],[Vaardigheid]],Lijsten!C:C,Lijsten!A:A)</f>
        <v>0</v>
      </c>
    </row>
    <row r="517" spans="4:9" ht="15">
      <c r="D517" s="6"/>
      <c r="E517" s="6"/>
      <c r="F517" s="46"/>
      <c r="G517" s="8"/>
      <c r="I517" s="9">
        <f>_xlfn.XLOOKUP(Timeform[[#This Row],[Vaardigheid]],Lijsten!C:C,Lijsten!A:A)</f>
        <v>0</v>
      </c>
    </row>
    <row r="518" spans="4:9" ht="15">
      <c r="D518" s="6"/>
      <c r="E518" s="6"/>
      <c r="F518" s="46"/>
      <c r="G518" s="8"/>
      <c r="I518" s="9">
        <f>_xlfn.XLOOKUP(Timeform[[#This Row],[Vaardigheid]],Lijsten!C:C,Lijsten!A:A)</f>
        <v>0</v>
      </c>
    </row>
    <row r="519" spans="4:9" ht="15">
      <c r="D519" s="6"/>
      <c r="E519" s="6"/>
      <c r="F519" s="46"/>
      <c r="G519" s="8"/>
      <c r="I519" s="9">
        <f>_xlfn.XLOOKUP(Timeform[[#This Row],[Vaardigheid]],Lijsten!C:C,Lijsten!A:A)</f>
        <v>0</v>
      </c>
    </row>
    <row r="520" spans="4:9" ht="15">
      <c r="D520" s="6"/>
      <c r="E520" s="6"/>
      <c r="F520" s="46"/>
      <c r="G520" s="8"/>
      <c r="I520" s="9">
        <f>_xlfn.XLOOKUP(Timeform[[#This Row],[Vaardigheid]],Lijsten!C:C,Lijsten!A:A)</f>
        <v>0</v>
      </c>
    </row>
    <row r="521" spans="4:9" ht="15">
      <c r="D521" s="6"/>
      <c r="E521" s="6"/>
      <c r="F521" s="46"/>
      <c r="G521" s="8"/>
      <c r="I521" s="9">
        <f>_xlfn.XLOOKUP(Timeform[[#This Row],[Vaardigheid]],Lijsten!C:C,Lijsten!A:A)</f>
        <v>0</v>
      </c>
    </row>
    <row r="522" spans="4:9" ht="15">
      <c r="D522" s="6"/>
      <c r="E522" s="6"/>
      <c r="F522" s="46"/>
      <c r="G522" s="8"/>
      <c r="I522" s="9">
        <f>_xlfn.XLOOKUP(Timeform[[#This Row],[Vaardigheid]],Lijsten!C:C,Lijsten!A:A)</f>
        <v>0</v>
      </c>
    </row>
    <row r="523" spans="4:9" ht="15">
      <c r="D523" s="6"/>
      <c r="E523" s="6"/>
      <c r="F523" s="46"/>
      <c r="G523" s="8"/>
      <c r="I523" s="9">
        <f>_xlfn.XLOOKUP(Timeform[[#This Row],[Vaardigheid]],Lijsten!C:C,Lijsten!A:A)</f>
        <v>0</v>
      </c>
    </row>
    <row r="524" spans="4:9" ht="15">
      <c r="D524" s="6"/>
      <c r="E524" s="6"/>
      <c r="F524" s="46"/>
      <c r="G524" s="8"/>
      <c r="I524" s="9">
        <f>_xlfn.XLOOKUP(Timeform[[#This Row],[Vaardigheid]],Lijsten!C:C,Lijsten!A:A)</f>
        <v>0</v>
      </c>
    </row>
    <row r="525" spans="4:9" ht="15">
      <c r="D525" s="6"/>
      <c r="E525" s="6"/>
      <c r="F525" s="46"/>
      <c r="G525" s="8"/>
      <c r="I525" s="9">
        <f>_xlfn.XLOOKUP(Timeform[[#This Row],[Vaardigheid]],Lijsten!C:C,Lijsten!A:A)</f>
        <v>0</v>
      </c>
    </row>
    <row r="526" spans="4:9" ht="15">
      <c r="D526" s="6"/>
      <c r="E526" s="6"/>
      <c r="F526" s="46"/>
      <c r="G526" s="8"/>
      <c r="I526" s="9">
        <f>_xlfn.XLOOKUP(Timeform[[#This Row],[Vaardigheid]],Lijsten!C:C,Lijsten!A:A)</f>
        <v>0</v>
      </c>
    </row>
    <row r="527" spans="4:9" ht="15">
      <c r="D527" s="6"/>
      <c r="E527" s="6"/>
      <c r="F527" s="46"/>
      <c r="G527" s="8"/>
      <c r="I527" s="9">
        <f>_xlfn.XLOOKUP(Timeform[[#This Row],[Vaardigheid]],Lijsten!C:C,Lijsten!A:A)</f>
        <v>0</v>
      </c>
    </row>
    <row r="528" spans="4:9" ht="15">
      <c r="D528" s="6"/>
      <c r="E528" s="6"/>
      <c r="F528" s="46"/>
      <c r="G528" s="8"/>
      <c r="I528" s="9">
        <f>_xlfn.XLOOKUP(Timeform[[#This Row],[Vaardigheid]],Lijsten!C:C,Lijsten!A:A)</f>
        <v>0</v>
      </c>
    </row>
    <row r="529" spans="4:9" ht="15">
      <c r="D529" s="6"/>
      <c r="E529" s="6"/>
      <c r="F529" s="46"/>
      <c r="G529" s="8"/>
      <c r="I529" s="9">
        <f>_xlfn.XLOOKUP(Timeform[[#This Row],[Vaardigheid]],Lijsten!C:C,Lijsten!A:A)</f>
        <v>0</v>
      </c>
    </row>
    <row r="530" spans="4:9" ht="15">
      <c r="D530" s="6"/>
      <c r="E530" s="6"/>
      <c r="F530" s="46"/>
      <c r="G530" s="8"/>
      <c r="I530" s="9">
        <f>_xlfn.XLOOKUP(Timeform[[#This Row],[Vaardigheid]],Lijsten!C:C,Lijsten!A:A)</f>
        <v>0</v>
      </c>
    </row>
    <row r="531" spans="4:9" ht="15">
      <c r="D531" s="6"/>
      <c r="E531" s="6"/>
      <c r="F531" s="46"/>
      <c r="G531" s="8"/>
      <c r="I531" s="9">
        <f>_xlfn.XLOOKUP(Timeform[[#This Row],[Vaardigheid]],Lijsten!C:C,Lijsten!A:A)</f>
        <v>0</v>
      </c>
    </row>
    <row r="532" spans="4:9" ht="15">
      <c r="D532" s="6"/>
      <c r="E532" s="6"/>
      <c r="F532" s="46"/>
      <c r="G532" s="8"/>
      <c r="I532" s="9">
        <f>_xlfn.XLOOKUP(Timeform[[#This Row],[Vaardigheid]],Lijsten!C:C,Lijsten!A:A)</f>
        <v>0</v>
      </c>
    </row>
    <row r="533" spans="4:9" ht="15">
      <c r="D533" s="6"/>
      <c r="E533" s="6"/>
      <c r="F533" s="46"/>
      <c r="G533" s="8"/>
      <c r="I533" s="9">
        <f>_xlfn.XLOOKUP(Timeform[[#This Row],[Vaardigheid]],Lijsten!C:C,Lijsten!A:A)</f>
        <v>0</v>
      </c>
    </row>
    <row r="534" spans="4:9" ht="15">
      <c r="D534" s="6"/>
      <c r="E534" s="6"/>
      <c r="F534" s="46"/>
      <c r="G534" s="8"/>
      <c r="I534" s="9">
        <f>_xlfn.XLOOKUP(Timeform[[#This Row],[Vaardigheid]],Lijsten!C:C,Lijsten!A:A)</f>
        <v>0</v>
      </c>
    </row>
    <row r="535" spans="4:9" ht="15">
      <c r="D535" s="6"/>
      <c r="E535" s="6"/>
      <c r="F535" s="46"/>
      <c r="G535" s="8"/>
      <c r="I535" s="9">
        <f>_xlfn.XLOOKUP(Timeform[[#This Row],[Vaardigheid]],Lijsten!C:C,Lijsten!A:A)</f>
        <v>0</v>
      </c>
    </row>
    <row r="536" spans="4:9" ht="15">
      <c r="D536" s="6"/>
      <c r="E536" s="6"/>
      <c r="F536" s="46"/>
      <c r="G536" s="8"/>
      <c r="I536" s="9">
        <f>_xlfn.XLOOKUP(Timeform[[#This Row],[Vaardigheid]],Lijsten!C:C,Lijsten!A:A)</f>
        <v>0</v>
      </c>
    </row>
    <row r="537" spans="4:9" ht="15">
      <c r="D537" s="6"/>
      <c r="E537" s="6"/>
      <c r="F537" s="46"/>
      <c r="G537" s="8"/>
      <c r="I537" s="9">
        <f>_xlfn.XLOOKUP(Timeform[[#This Row],[Vaardigheid]],Lijsten!C:C,Lijsten!A:A)</f>
        <v>0</v>
      </c>
    </row>
    <row r="538" spans="4:9" ht="15">
      <c r="D538" s="6"/>
      <c r="E538" s="6"/>
      <c r="F538" s="46"/>
      <c r="G538" s="8"/>
      <c r="I538" s="9">
        <f>_xlfn.XLOOKUP(Timeform[[#This Row],[Vaardigheid]],Lijsten!C:C,Lijsten!A:A)</f>
        <v>0</v>
      </c>
    </row>
    <row r="539" spans="4:9" ht="15">
      <c r="D539" s="6"/>
      <c r="E539" s="6"/>
      <c r="F539" s="46"/>
      <c r="G539" s="8"/>
      <c r="I539" s="9">
        <f>_xlfn.XLOOKUP(Timeform[[#This Row],[Vaardigheid]],Lijsten!C:C,Lijsten!A:A)</f>
        <v>0</v>
      </c>
    </row>
    <row r="540" spans="4:9" ht="15">
      <c r="D540" s="6"/>
      <c r="E540" s="6"/>
      <c r="F540" s="46"/>
      <c r="G540" s="8"/>
      <c r="I540" s="9">
        <f>_xlfn.XLOOKUP(Timeform[[#This Row],[Vaardigheid]],Lijsten!C:C,Lijsten!A:A)</f>
        <v>0</v>
      </c>
    </row>
    <row r="541" spans="4:9" ht="15">
      <c r="D541" s="6"/>
      <c r="E541" s="6"/>
      <c r="F541" s="46"/>
      <c r="G541" s="8"/>
      <c r="I541" s="9">
        <f>_xlfn.XLOOKUP(Timeform[[#This Row],[Vaardigheid]],Lijsten!C:C,Lijsten!A:A)</f>
        <v>0</v>
      </c>
    </row>
    <row r="542" spans="4:9" ht="15">
      <c r="D542" s="6"/>
      <c r="E542" s="6"/>
      <c r="F542" s="46"/>
      <c r="G542" s="8"/>
      <c r="I542" s="9">
        <f>_xlfn.XLOOKUP(Timeform[[#This Row],[Vaardigheid]],Lijsten!C:C,Lijsten!A:A)</f>
        <v>0</v>
      </c>
    </row>
    <row r="543" spans="4:9" ht="15">
      <c r="D543" s="6"/>
      <c r="E543" s="6"/>
      <c r="F543" s="46"/>
      <c r="G543" s="8"/>
      <c r="I543" s="9">
        <f>_xlfn.XLOOKUP(Timeform[[#This Row],[Vaardigheid]],Lijsten!C:C,Lijsten!A:A)</f>
        <v>0</v>
      </c>
    </row>
    <row r="544" spans="4:9" ht="15">
      <c r="D544" s="6"/>
      <c r="E544" s="6"/>
      <c r="F544" s="46"/>
      <c r="G544" s="8"/>
      <c r="I544" s="9">
        <f>_xlfn.XLOOKUP(Timeform[[#This Row],[Vaardigheid]],Lijsten!C:C,Lijsten!A:A)</f>
        <v>0</v>
      </c>
    </row>
    <row r="545" spans="4:9" ht="15">
      <c r="D545" s="6"/>
      <c r="E545" s="6"/>
      <c r="F545" s="46"/>
      <c r="G545" s="8"/>
      <c r="I545" s="9">
        <f>_xlfn.XLOOKUP(Timeform[[#This Row],[Vaardigheid]],Lijsten!C:C,Lijsten!A:A)</f>
        <v>0</v>
      </c>
    </row>
    <row r="546" spans="4:9" ht="15">
      <c r="D546" s="6"/>
      <c r="E546" s="6"/>
      <c r="F546" s="46"/>
      <c r="G546" s="8"/>
      <c r="I546" s="9">
        <f>_xlfn.XLOOKUP(Timeform[[#This Row],[Vaardigheid]],Lijsten!C:C,Lijsten!A:A)</f>
        <v>0</v>
      </c>
    </row>
    <row r="547" spans="4:9" ht="15">
      <c r="D547" s="6"/>
      <c r="E547" s="6"/>
      <c r="F547" s="46"/>
      <c r="G547" s="8"/>
      <c r="I547" s="9">
        <f>_xlfn.XLOOKUP(Timeform[[#This Row],[Vaardigheid]],Lijsten!C:C,Lijsten!A:A)</f>
        <v>0</v>
      </c>
    </row>
    <row r="548" spans="4:9" ht="15">
      <c r="D548" s="6"/>
      <c r="E548" s="6"/>
      <c r="F548" s="46"/>
      <c r="G548" s="8"/>
      <c r="I548" s="9">
        <f>_xlfn.XLOOKUP(Timeform[[#This Row],[Vaardigheid]],Lijsten!C:C,Lijsten!A:A)</f>
        <v>0</v>
      </c>
    </row>
    <row r="549" spans="4:9" ht="15">
      <c r="D549" s="6"/>
      <c r="E549" s="6"/>
      <c r="F549" s="46"/>
      <c r="G549" s="8"/>
      <c r="I549" s="9">
        <f>_xlfn.XLOOKUP(Timeform[[#This Row],[Vaardigheid]],Lijsten!C:C,Lijsten!A:A)</f>
        <v>0</v>
      </c>
    </row>
    <row r="550" spans="4:9" ht="15">
      <c r="D550" s="6"/>
      <c r="E550" s="6"/>
      <c r="F550" s="46"/>
      <c r="G550" s="8"/>
      <c r="I550" s="9">
        <f>_xlfn.XLOOKUP(Timeform[[#This Row],[Vaardigheid]],Lijsten!C:C,Lijsten!A:A)</f>
        <v>0</v>
      </c>
    </row>
    <row r="551" spans="4:9" ht="15">
      <c r="D551" s="6"/>
      <c r="E551" s="6"/>
      <c r="F551" s="46"/>
      <c r="G551" s="8"/>
      <c r="I551" s="9">
        <f>_xlfn.XLOOKUP(Timeform[[#This Row],[Vaardigheid]],Lijsten!C:C,Lijsten!A:A)</f>
        <v>0</v>
      </c>
    </row>
    <row r="552" spans="4:9" ht="15">
      <c r="D552" s="6"/>
      <c r="E552" s="6"/>
      <c r="F552" s="46"/>
      <c r="G552" s="8"/>
      <c r="I552" s="9">
        <f>_xlfn.XLOOKUP(Timeform[[#This Row],[Vaardigheid]],Lijsten!C:C,Lijsten!A:A)</f>
        <v>0</v>
      </c>
    </row>
    <row r="553" spans="4:9" ht="15">
      <c r="D553" s="6"/>
      <c r="E553" s="6"/>
      <c r="F553" s="46"/>
      <c r="G553" s="8"/>
      <c r="I553" s="9">
        <f>_xlfn.XLOOKUP(Timeform[[#This Row],[Vaardigheid]],Lijsten!C:C,Lijsten!A:A)</f>
        <v>0</v>
      </c>
    </row>
    <row r="554" spans="4:9" ht="15">
      <c r="D554" s="6"/>
      <c r="E554" s="6"/>
      <c r="F554" s="46"/>
      <c r="G554" s="8"/>
      <c r="I554" s="9">
        <f>_xlfn.XLOOKUP(Timeform[[#This Row],[Vaardigheid]],Lijsten!C:C,Lijsten!A:A)</f>
        <v>0</v>
      </c>
    </row>
    <row r="555" spans="4:9" ht="15">
      <c r="D555" s="6"/>
      <c r="E555" s="6"/>
      <c r="F555" s="46"/>
      <c r="G555" s="8"/>
      <c r="I555" s="9">
        <f>_xlfn.XLOOKUP(Timeform[[#This Row],[Vaardigheid]],Lijsten!C:C,Lijsten!A:A)</f>
        <v>0</v>
      </c>
    </row>
    <row r="556" spans="4:9" ht="15">
      <c r="D556" s="6"/>
      <c r="E556" s="6"/>
      <c r="F556" s="46"/>
      <c r="G556" s="8"/>
      <c r="I556" s="9">
        <f>_xlfn.XLOOKUP(Timeform[[#This Row],[Vaardigheid]],Lijsten!C:C,Lijsten!A:A)</f>
        <v>0</v>
      </c>
    </row>
    <row r="557" spans="4:9" ht="15">
      <c r="D557" s="6"/>
      <c r="E557" s="6"/>
      <c r="F557" s="46"/>
      <c r="G557" s="8"/>
      <c r="I557" s="9">
        <f>_xlfn.XLOOKUP(Timeform[[#This Row],[Vaardigheid]],Lijsten!C:C,Lijsten!A:A)</f>
        <v>0</v>
      </c>
    </row>
    <row r="558" spans="4:9" ht="15">
      <c r="D558" s="6"/>
      <c r="E558" s="6"/>
      <c r="F558" s="46"/>
      <c r="G558" s="8"/>
      <c r="I558" s="9">
        <f>_xlfn.XLOOKUP(Timeform[[#This Row],[Vaardigheid]],Lijsten!C:C,Lijsten!A:A)</f>
        <v>0</v>
      </c>
    </row>
    <row r="559" spans="4:9" ht="15">
      <c r="D559" s="6"/>
      <c r="E559" s="6"/>
      <c r="F559" s="46"/>
      <c r="G559" s="8"/>
      <c r="I559" s="9">
        <f>_xlfn.XLOOKUP(Timeform[[#This Row],[Vaardigheid]],Lijsten!C:C,Lijsten!A:A)</f>
        <v>0</v>
      </c>
    </row>
    <row r="560" spans="4:9" ht="15">
      <c r="D560" s="6"/>
      <c r="E560" s="6"/>
      <c r="F560" s="46"/>
      <c r="G560" s="8"/>
      <c r="I560" s="9">
        <f>_xlfn.XLOOKUP(Timeform[[#This Row],[Vaardigheid]],Lijsten!C:C,Lijsten!A:A)</f>
        <v>0</v>
      </c>
    </row>
    <row r="561" spans="4:9" ht="15">
      <c r="D561" s="6"/>
      <c r="E561" s="6"/>
      <c r="F561" s="46"/>
      <c r="G561" s="8"/>
      <c r="I561" s="9">
        <f>_xlfn.XLOOKUP(Timeform[[#This Row],[Vaardigheid]],Lijsten!C:C,Lijsten!A:A)</f>
        <v>0</v>
      </c>
    </row>
    <row r="562" spans="4:9" ht="15">
      <c r="D562" s="6"/>
      <c r="E562" s="6"/>
      <c r="F562" s="46"/>
      <c r="G562" s="8"/>
      <c r="I562" s="9">
        <f>_xlfn.XLOOKUP(Timeform[[#This Row],[Vaardigheid]],Lijsten!C:C,Lijsten!A:A)</f>
        <v>0</v>
      </c>
    </row>
    <row r="563" spans="4:9" ht="15">
      <c r="D563" s="6"/>
      <c r="E563" s="6"/>
      <c r="F563" s="46"/>
      <c r="G563" s="8"/>
      <c r="I563" s="9">
        <f>_xlfn.XLOOKUP(Timeform[[#This Row],[Vaardigheid]],Lijsten!C:C,Lijsten!A:A)</f>
        <v>0</v>
      </c>
    </row>
    <row r="564" spans="4:9" ht="15">
      <c r="D564" s="6"/>
      <c r="E564" s="6"/>
      <c r="F564" s="46"/>
      <c r="G564" s="8"/>
      <c r="I564" s="9">
        <f>_xlfn.XLOOKUP(Timeform[[#This Row],[Vaardigheid]],Lijsten!C:C,Lijsten!A:A)</f>
        <v>0</v>
      </c>
    </row>
    <row r="565" spans="4:9" ht="15">
      <c r="D565" s="6"/>
      <c r="E565" s="6"/>
      <c r="F565" s="46"/>
      <c r="G565" s="8"/>
      <c r="I565" s="9">
        <f>_xlfn.XLOOKUP(Timeform[[#This Row],[Vaardigheid]],Lijsten!C:C,Lijsten!A:A)</f>
        <v>0</v>
      </c>
    </row>
    <row r="566" spans="4:9" ht="15">
      <c r="D566" s="6"/>
      <c r="E566" s="6"/>
      <c r="F566" s="46"/>
      <c r="G566" s="8"/>
      <c r="I566" s="9">
        <f>_xlfn.XLOOKUP(Timeform[[#This Row],[Vaardigheid]],Lijsten!C:C,Lijsten!A:A)</f>
        <v>0</v>
      </c>
    </row>
    <row r="567" spans="4:9" ht="15">
      <c r="D567" s="6"/>
      <c r="E567" s="6"/>
      <c r="F567" s="46"/>
      <c r="G567" s="8"/>
      <c r="I567" s="9">
        <f>_xlfn.XLOOKUP(Timeform[[#This Row],[Vaardigheid]],Lijsten!C:C,Lijsten!A:A)</f>
        <v>0</v>
      </c>
    </row>
    <row r="568" spans="4:9" ht="15">
      <c r="D568" s="6"/>
      <c r="E568" s="6"/>
      <c r="F568" s="46"/>
      <c r="G568" s="8"/>
      <c r="I568" s="9">
        <f>_xlfn.XLOOKUP(Timeform[[#This Row],[Vaardigheid]],Lijsten!C:C,Lijsten!A:A)</f>
        <v>0</v>
      </c>
    </row>
    <row r="569" spans="4:9" ht="15">
      <c r="D569" s="6"/>
      <c r="E569" s="6"/>
      <c r="F569" s="46"/>
      <c r="G569" s="8"/>
      <c r="I569" s="9">
        <f>_xlfn.XLOOKUP(Timeform[[#This Row],[Vaardigheid]],Lijsten!C:C,Lijsten!A:A)</f>
        <v>0</v>
      </c>
    </row>
    <row r="570" spans="4:9" ht="15">
      <c r="D570" s="6"/>
      <c r="E570" s="6"/>
      <c r="F570" s="46"/>
      <c r="G570" s="8"/>
      <c r="I570" s="9">
        <f>_xlfn.XLOOKUP(Timeform[[#This Row],[Vaardigheid]],Lijsten!C:C,Lijsten!A:A)</f>
        <v>0</v>
      </c>
    </row>
    <row r="571" spans="4:9" ht="15">
      <c r="D571" s="6"/>
      <c r="E571" s="6"/>
      <c r="F571" s="46"/>
      <c r="G571" s="8"/>
      <c r="I571" s="9">
        <f>_xlfn.XLOOKUP(Timeform[[#This Row],[Vaardigheid]],Lijsten!C:C,Lijsten!A:A)</f>
        <v>0</v>
      </c>
    </row>
    <row r="572" spans="4:9" ht="15">
      <c r="D572" s="6"/>
      <c r="E572" s="6"/>
      <c r="F572" s="46"/>
      <c r="G572" s="8"/>
      <c r="I572" s="9">
        <f>_xlfn.XLOOKUP(Timeform[[#This Row],[Vaardigheid]],Lijsten!C:C,Lijsten!A:A)</f>
        <v>0</v>
      </c>
    </row>
    <row r="573" spans="4:9" ht="15">
      <c r="D573" s="6"/>
      <c r="E573" s="6"/>
      <c r="F573" s="46"/>
      <c r="G573" s="8"/>
      <c r="I573" s="9">
        <f>_xlfn.XLOOKUP(Timeform[[#This Row],[Vaardigheid]],Lijsten!C:C,Lijsten!A:A)</f>
        <v>0</v>
      </c>
    </row>
    <row r="574" spans="4:9" ht="15">
      <c r="D574" s="6"/>
      <c r="E574" s="6"/>
      <c r="F574" s="46"/>
      <c r="G574" s="8"/>
      <c r="I574" s="9">
        <f>_xlfn.XLOOKUP(Timeform[[#This Row],[Vaardigheid]],Lijsten!C:C,Lijsten!A:A)</f>
        <v>0</v>
      </c>
    </row>
    <row r="575" spans="4:9" ht="15">
      <c r="D575" s="6"/>
      <c r="E575" s="6"/>
      <c r="F575" s="46"/>
      <c r="G575" s="8"/>
      <c r="I575" s="9">
        <f>_xlfn.XLOOKUP(Timeform[[#This Row],[Vaardigheid]],Lijsten!C:C,Lijsten!A:A)</f>
        <v>0</v>
      </c>
    </row>
    <row r="576" spans="4:9" ht="15">
      <c r="D576" s="6"/>
      <c r="E576" s="6"/>
      <c r="F576" s="46"/>
      <c r="G576" s="8"/>
      <c r="I576" s="9">
        <f>_xlfn.XLOOKUP(Timeform[[#This Row],[Vaardigheid]],Lijsten!C:C,Lijsten!A:A)</f>
        <v>0</v>
      </c>
    </row>
    <row r="577" spans="4:9" ht="15">
      <c r="D577" s="6"/>
      <c r="E577" s="6"/>
      <c r="F577" s="46"/>
      <c r="G577" s="8"/>
      <c r="I577" s="9">
        <f>_xlfn.XLOOKUP(Timeform[[#This Row],[Vaardigheid]],Lijsten!C:C,Lijsten!A:A)</f>
        <v>0</v>
      </c>
    </row>
    <row r="578" spans="4:9" ht="15">
      <c r="D578" s="6"/>
      <c r="E578" s="6"/>
      <c r="F578" s="46"/>
      <c r="G578" s="8"/>
      <c r="I578" s="9">
        <f>_xlfn.XLOOKUP(Timeform[[#This Row],[Vaardigheid]],Lijsten!C:C,Lijsten!A:A)</f>
        <v>0</v>
      </c>
    </row>
    <row r="579" spans="4:9" ht="15">
      <c r="D579" s="6"/>
      <c r="E579" s="6"/>
      <c r="F579" s="46"/>
      <c r="G579" s="8"/>
      <c r="I579" s="9">
        <f>_xlfn.XLOOKUP(Timeform[[#This Row],[Vaardigheid]],Lijsten!C:C,Lijsten!A:A)</f>
        <v>0</v>
      </c>
    </row>
    <row r="580" spans="4:9" ht="15">
      <c r="D580" s="6"/>
      <c r="E580" s="6"/>
      <c r="F580" s="46"/>
      <c r="G580" s="8"/>
      <c r="I580" s="9">
        <f>_xlfn.XLOOKUP(Timeform[[#This Row],[Vaardigheid]],Lijsten!C:C,Lijsten!A:A)</f>
        <v>0</v>
      </c>
    </row>
    <row r="581" spans="4:9" ht="15">
      <c r="D581" s="6"/>
      <c r="E581" s="6"/>
      <c r="F581" s="46"/>
      <c r="G581" s="8"/>
      <c r="I581" s="9">
        <f>_xlfn.XLOOKUP(Timeform[[#This Row],[Vaardigheid]],Lijsten!C:C,Lijsten!A:A)</f>
        <v>0</v>
      </c>
    </row>
    <row r="582" spans="4:9" ht="15">
      <c r="D582" s="6"/>
      <c r="E582" s="6"/>
      <c r="F582" s="46"/>
      <c r="G582" s="8"/>
      <c r="I582" s="9">
        <f>_xlfn.XLOOKUP(Timeform[[#This Row],[Vaardigheid]],Lijsten!C:C,Lijsten!A:A)</f>
        <v>0</v>
      </c>
    </row>
    <row r="583" spans="4:9" ht="15">
      <c r="D583" s="6"/>
      <c r="E583" s="6"/>
      <c r="F583" s="46"/>
      <c r="G583" s="8"/>
      <c r="I583" s="9">
        <f>_xlfn.XLOOKUP(Timeform[[#This Row],[Vaardigheid]],Lijsten!C:C,Lijsten!A:A)</f>
        <v>0</v>
      </c>
    </row>
    <row r="584" spans="4:9" ht="15">
      <c r="D584" s="6"/>
      <c r="E584" s="6"/>
      <c r="F584" s="46"/>
      <c r="G584" s="8"/>
      <c r="I584" s="9">
        <f>_xlfn.XLOOKUP(Timeform[[#This Row],[Vaardigheid]],Lijsten!C:C,Lijsten!A:A)</f>
        <v>0</v>
      </c>
    </row>
    <row r="585" spans="4:9" ht="15">
      <c r="D585" s="6"/>
      <c r="E585" s="6"/>
      <c r="F585" s="46"/>
      <c r="G585" s="8"/>
      <c r="I585" s="9">
        <f>_xlfn.XLOOKUP(Timeform[[#This Row],[Vaardigheid]],Lijsten!C:C,Lijsten!A:A)</f>
        <v>0</v>
      </c>
    </row>
    <row r="586" spans="4:9" ht="15">
      <c r="D586" s="6"/>
      <c r="E586" s="6"/>
      <c r="F586" s="46"/>
      <c r="G586" s="8"/>
      <c r="I586" s="9">
        <f>_xlfn.XLOOKUP(Timeform[[#This Row],[Vaardigheid]],Lijsten!C:C,Lijsten!A:A)</f>
        <v>0</v>
      </c>
    </row>
    <row r="587" spans="4:9" ht="15">
      <c r="D587" s="6"/>
      <c r="E587" s="6"/>
      <c r="F587" s="46"/>
      <c r="G587" s="8"/>
      <c r="I587" s="9">
        <f>_xlfn.XLOOKUP(Timeform[[#This Row],[Vaardigheid]],Lijsten!C:C,Lijsten!A:A)</f>
        <v>0</v>
      </c>
    </row>
    <row r="588" spans="4:9" ht="15">
      <c r="D588" s="6"/>
      <c r="E588" s="6"/>
      <c r="F588" s="46"/>
      <c r="G588" s="8"/>
      <c r="I588" s="9">
        <f>_xlfn.XLOOKUP(Timeform[[#This Row],[Vaardigheid]],Lijsten!C:C,Lijsten!A:A)</f>
        <v>0</v>
      </c>
    </row>
    <row r="589" spans="4:9" ht="15">
      <c r="D589" s="6"/>
      <c r="E589" s="6"/>
      <c r="F589" s="46"/>
      <c r="G589" s="8"/>
      <c r="I589" s="9">
        <f>_xlfn.XLOOKUP(Timeform[[#This Row],[Vaardigheid]],Lijsten!C:C,Lijsten!A:A)</f>
        <v>0</v>
      </c>
    </row>
    <row r="590" spans="4:9" ht="15">
      <c r="D590" s="6"/>
      <c r="E590" s="6"/>
      <c r="F590" s="46"/>
      <c r="G590" s="8"/>
      <c r="I590" s="9">
        <f>_xlfn.XLOOKUP(Timeform[[#This Row],[Vaardigheid]],Lijsten!C:C,Lijsten!A:A)</f>
        <v>0</v>
      </c>
    </row>
    <row r="591" spans="4:9" ht="15">
      <c r="D591" s="6"/>
      <c r="E591" s="6"/>
      <c r="F591" s="46"/>
      <c r="G591" s="8"/>
      <c r="I591" s="9">
        <f>_xlfn.XLOOKUP(Timeform[[#This Row],[Vaardigheid]],Lijsten!C:C,Lijsten!A:A)</f>
        <v>0</v>
      </c>
    </row>
    <row r="592" spans="4:9" ht="15">
      <c r="D592" s="6"/>
      <c r="E592" s="6"/>
      <c r="F592" s="46"/>
      <c r="G592" s="8"/>
      <c r="I592" s="9">
        <f>_xlfn.XLOOKUP(Timeform[[#This Row],[Vaardigheid]],Lijsten!C:C,Lijsten!A:A)</f>
        <v>0</v>
      </c>
    </row>
    <row r="593" spans="4:9" ht="15">
      <c r="D593" s="6"/>
      <c r="E593" s="6"/>
      <c r="F593" s="46"/>
      <c r="G593" s="8"/>
      <c r="I593" s="9">
        <f>_xlfn.XLOOKUP(Timeform[[#This Row],[Vaardigheid]],Lijsten!C:C,Lijsten!A:A)</f>
        <v>0</v>
      </c>
    </row>
    <row r="594" spans="4:9" ht="15">
      <c r="D594" s="6"/>
      <c r="E594" s="6"/>
      <c r="F594" s="46"/>
      <c r="G594" s="8"/>
      <c r="I594" s="9">
        <f>_xlfn.XLOOKUP(Timeform[[#This Row],[Vaardigheid]],Lijsten!C:C,Lijsten!A:A)</f>
        <v>0</v>
      </c>
    </row>
    <row r="595" spans="4:9" ht="15">
      <c r="D595" s="6"/>
      <c r="E595" s="6"/>
      <c r="F595" s="46"/>
      <c r="G595" s="8"/>
      <c r="I595" s="9">
        <f>_xlfn.XLOOKUP(Timeform[[#This Row],[Vaardigheid]],Lijsten!C:C,Lijsten!A:A)</f>
        <v>0</v>
      </c>
    </row>
    <row r="596" spans="4:9" ht="15">
      <c r="D596" s="6"/>
      <c r="E596" s="6"/>
      <c r="F596" s="46"/>
      <c r="G596" s="8"/>
      <c r="I596" s="9">
        <f>_xlfn.XLOOKUP(Timeform[[#This Row],[Vaardigheid]],Lijsten!C:C,Lijsten!A:A)</f>
        <v>0</v>
      </c>
    </row>
    <row r="597" spans="4:9" ht="15">
      <c r="D597" s="6"/>
      <c r="E597" s="6"/>
      <c r="F597" s="46"/>
      <c r="G597" s="8"/>
      <c r="I597" s="9">
        <f>_xlfn.XLOOKUP(Timeform[[#This Row],[Vaardigheid]],Lijsten!C:C,Lijsten!A:A)</f>
        <v>0</v>
      </c>
    </row>
    <row r="598" spans="4:9" ht="15">
      <c r="D598" s="6"/>
      <c r="E598" s="6"/>
      <c r="F598" s="46"/>
      <c r="G598" s="8"/>
      <c r="I598" s="9">
        <f>_xlfn.XLOOKUP(Timeform[[#This Row],[Vaardigheid]],Lijsten!C:C,Lijsten!A:A)</f>
        <v>0</v>
      </c>
    </row>
    <row r="599" spans="4:9" ht="15">
      <c r="D599" s="6"/>
      <c r="E599" s="6"/>
      <c r="F599" s="46"/>
      <c r="G599" s="8"/>
      <c r="I599" s="9">
        <f>_xlfn.XLOOKUP(Timeform[[#This Row],[Vaardigheid]],Lijsten!C:C,Lijsten!A:A)</f>
        <v>0</v>
      </c>
    </row>
    <row r="600" spans="4:9" ht="15">
      <c r="D600" s="6"/>
      <c r="E600" s="6"/>
      <c r="F600" s="46"/>
      <c r="G600" s="8"/>
      <c r="I600" s="9">
        <f>_xlfn.XLOOKUP(Timeform[[#This Row],[Vaardigheid]],Lijsten!C:C,Lijsten!A:A)</f>
        <v>0</v>
      </c>
    </row>
    <row r="601" spans="4:9" ht="15">
      <c r="D601" s="6"/>
      <c r="E601" s="6"/>
      <c r="F601" s="46"/>
      <c r="G601" s="8"/>
      <c r="I601" s="9">
        <f>_xlfn.XLOOKUP(Timeform[[#This Row],[Vaardigheid]],Lijsten!C:C,Lijsten!A:A)</f>
        <v>0</v>
      </c>
    </row>
    <row r="602" spans="4:9" ht="15">
      <c r="D602" s="6"/>
      <c r="E602" s="6"/>
      <c r="F602" s="46"/>
      <c r="G602" s="8"/>
      <c r="I602" s="9">
        <f>_xlfn.XLOOKUP(Timeform[[#This Row],[Vaardigheid]],Lijsten!C:C,Lijsten!A:A)</f>
        <v>0</v>
      </c>
    </row>
    <row r="603" spans="4:9" ht="15">
      <c r="D603" s="6"/>
      <c r="E603" s="6"/>
      <c r="F603" s="46"/>
      <c r="G603" s="8"/>
      <c r="I603" s="9">
        <f>_xlfn.XLOOKUP(Timeform[[#This Row],[Vaardigheid]],Lijsten!C:C,Lijsten!A:A)</f>
        <v>0</v>
      </c>
    </row>
    <row r="604" spans="4:9" ht="15">
      <c r="D604" s="6"/>
      <c r="E604" s="6"/>
      <c r="F604" s="46"/>
      <c r="G604" s="8"/>
      <c r="I604" s="9">
        <f>_xlfn.XLOOKUP(Timeform[[#This Row],[Vaardigheid]],Lijsten!C:C,Lijsten!A:A)</f>
        <v>0</v>
      </c>
    </row>
    <row r="605" spans="4:9" ht="15">
      <c r="D605" s="6"/>
      <c r="E605" s="6"/>
      <c r="F605" s="46"/>
      <c r="G605" s="8"/>
      <c r="I605" s="9">
        <f>_xlfn.XLOOKUP(Timeform[[#This Row],[Vaardigheid]],Lijsten!C:C,Lijsten!A:A)</f>
        <v>0</v>
      </c>
    </row>
    <row r="606" spans="4:9" ht="15">
      <c r="D606" s="6"/>
      <c r="E606" s="6"/>
      <c r="F606" s="46"/>
      <c r="G606" s="8"/>
      <c r="I606" s="9">
        <f>_xlfn.XLOOKUP(Timeform[[#This Row],[Vaardigheid]],Lijsten!C:C,Lijsten!A:A)</f>
        <v>0</v>
      </c>
    </row>
    <row r="607" spans="4:9" ht="15">
      <c r="D607" s="6"/>
      <c r="E607" s="6"/>
      <c r="F607" s="46"/>
      <c r="G607" s="8"/>
      <c r="I607" s="9">
        <f>_xlfn.XLOOKUP(Timeform[[#This Row],[Vaardigheid]],Lijsten!C:C,Lijsten!A:A)</f>
        <v>0</v>
      </c>
    </row>
    <row r="608" spans="4:9" ht="15">
      <c r="D608" s="6"/>
      <c r="E608" s="6"/>
      <c r="F608" s="46"/>
      <c r="G608" s="8"/>
      <c r="I608" s="9">
        <f>_xlfn.XLOOKUP(Timeform[[#This Row],[Vaardigheid]],Lijsten!C:C,Lijsten!A:A)</f>
        <v>0</v>
      </c>
    </row>
    <row r="609" spans="4:9" ht="15">
      <c r="D609" s="6"/>
      <c r="E609" s="6"/>
      <c r="F609" s="46"/>
      <c r="G609" s="8"/>
      <c r="I609" s="9">
        <f>_xlfn.XLOOKUP(Timeform[[#This Row],[Vaardigheid]],Lijsten!C:C,Lijsten!A:A)</f>
        <v>0</v>
      </c>
    </row>
    <row r="610" spans="4:9" ht="15">
      <c r="D610" s="6"/>
      <c r="E610" s="6"/>
      <c r="F610" s="46"/>
      <c r="G610" s="8"/>
      <c r="I610" s="9">
        <f>_xlfn.XLOOKUP(Timeform[[#This Row],[Vaardigheid]],Lijsten!C:C,Lijsten!A:A)</f>
        <v>0</v>
      </c>
    </row>
    <row r="611" spans="4:9" ht="15">
      <c r="D611" s="6"/>
      <c r="E611" s="6"/>
      <c r="F611" s="46"/>
      <c r="G611" s="8"/>
      <c r="I611" s="9">
        <f>_xlfn.XLOOKUP(Timeform[[#This Row],[Vaardigheid]],Lijsten!C:C,Lijsten!A:A)</f>
        <v>0</v>
      </c>
    </row>
    <row r="612" spans="4:9" ht="15">
      <c r="D612" s="6"/>
      <c r="E612" s="6"/>
      <c r="F612" s="46"/>
      <c r="G612" s="8"/>
      <c r="I612" s="9">
        <f>_xlfn.XLOOKUP(Timeform[[#This Row],[Vaardigheid]],Lijsten!C:C,Lijsten!A:A)</f>
        <v>0</v>
      </c>
    </row>
    <row r="613" spans="4:9" ht="15">
      <c r="D613" s="6"/>
      <c r="E613" s="6"/>
      <c r="F613" s="46"/>
      <c r="G613" s="8"/>
      <c r="I613" s="9">
        <f>_xlfn.XLOOKUP(Timeform[[#This Row],[Vaardigheid]],Lijsten!C:C,Lijsten!A:A)</f>
        <v>0</v>
      </c>
    </row>
    <row r="614" spans="4:9" ht="15">
      <c r="D614" s="6"/>
      <c r="E614" s="6"/>
      <c r="F614" s="46"/>
      <c r="G614" s="8"/>
      <c r="I614" s="9">
        <f>_xlfn.XLOOKUP(Timeform[[#This Row],[Vaardigheid]],Lijsten!C:C,Lijsten!A:A)</f>
        <v>0</v>
      </c>
    </row>
    <row r="615" spans="4:9" ht="15">
      <c r="D615" s="6"/>
      <c r="E615" s="6"/>
      <c r="F615" s="46"/>
      <c r="G615" s="8"/>
      <c r="I615" s="9">
        <f>_xlfn.XLOOKUP(Timeform[[#This Row],[Vaardigheid]],Lijsten!C:C,Lijsten!A:A)</f>
        <v>0</v>
      </c>
    </row>
    <row r="616" spans="4:9" ht="15">
      <c r="D616" s="6"/>
      <c r="E616" s="6"/>
      <c r="F616" s="46"/>
      <c r="G616" s="8"/>
      <c r="I616" s="9">
        <f>_xlfn.XLOOKUP(Timeform[[#This Row],[Vaardigheid]],Lijsten!C:C,Lijsten!A:A)</f>
        <v>0</v>
      </c>
    </row>
    <row r="617" spans="4:9" ht="15">
      <c r="D617" s="6"/>
      <c r="E617" s="6"/>
      <c r="F617" s="46"/>
      <c r="G617" s="8"/>
      <c r="I617" s="9">
        <f>_xlfn.XLOOKUP(Timeform[[#This Row],[Vaardigheid]],Lijsten!C:C,Lijsten!A:A)</f>
        <v>0</v>
      </c>
    </row>
    <row r="618" spans="4:9" ht="15">
      <c r="D618" s="6"/>
      <c r="E618" s="6"/>
      <c r="F618" s="46"/>
      <c r="G618" s="8"/>
      <c r="I618" s="9">
        <f>_xlfn.XLOOKUP(Timeform[[#This Row],[Vaardigheid]],Lijsten!C:C,Lijsten!A:A)</f>
        <v>0</v>
      </c>
    </row>
    <row r="619" spans="4:9" ht="15">
      <c r="D619" s="6"/>
      <c r="E619" s="6"/>
      <c r="F619" s="46"/>
      <c r="G619" s="8"/>
      <c r="I619" s="9">
        <f>_xlfn.XLOOKUP(Timeform[[#This Row],[Vaardigheid]],Lijsten!C:C,Lijsten!A:A)</f>
        <v>0</v>
      </c>
    </row>
    <row r="620" spans="4:9" ht="15">
      <c r="D620" s="6"/>
      <c r="E620" s="6"/>
      <c r="F620" s="46"/>
      <c r="G620" s="8"/>
      <c r="I620" s="9">
        <f>_xlfn.XLOOKUP(Timeform[[#This Row],[Vaardigheid]],Lijsten!C:C,Lijsten!A:A)</f>
        <v>0</v>
      </c>
    </row>
    <row r="621" spans="4:9" ht="15">
      <c r="D621" s="6"/>
      <c r="E621" s="6"/>
      <c r="F621" s="46"/>
      <c r="G621" s="8"/>
      <c r="I621" s="9">
        <f>_xlfn.XLOOKUP(Timeform[[#This Row],[Vaardigheid]],Lijsten!C:C,Lijsten!A:A)</f>
        <v>0</v>
      </c>
    </row>
    <row r="622" spans="4:9" ht="15">
      <c r="D622" s="6"/>
      <c r="E622" s="6"/>
      <c r="F622" s="46"/>
      <c r="G622" s="8"/>
      <c r="I622" s="9">
        <f>_xlfn.XLOOKUP(Timeform[[#This Row],[Vaardigheid]],Lijsten!C:C,Lijsten!A:A)</f>
        <v>0</v>
      </c>
    </row>
    <row r="623" spans="4:9" ht="15">
      <c r="D623" s="6"/>
      <c r="E623" s="6"/>
      <c r="F623" s="46"/>
      <c r="G623" s="8"/>
      <c r="I623" s="9">
        <f>_xlfn.XLOOKUP(Timeform[[#This Row],[Vaardigheid]],Lijsten!C:C,Lijsten!A:A)</f>
        <v>0</v>
      </c>
    </row>
    <row r="624" spans="4:9" ht="15">
      <c r="D624" s="6"/>
      <c r="E624" s="6"/>
      <c r="F624" s="46"/>
      <c r="G624" s="8"/>
      <c r="I624" s="9">
        <f>_xlfn.XLOOKUP(Timeform[[#This Row],[Vaardigheid]],Lijsten!C:C,Lijsten!A:A)</f>
        <v>0</v>
      </c>
    </row>
    <row r="625" spans="4:9" ht="15">
      <c r="D625" s="6"/>
      <c r="E625" s="6"/>
      <c r="F625" s="46"/>
      <c r="G625" s="8"/>
      <c r="I625" s="9">
        <f>_xlfn.XLOOKUP(Timeform[[#This Row],[Vaardigheid]],Lijsten!C:C,Lijsten!A:A)</f>
        <v>0</v>
      </c>
    </row>
    <row r="626" spans="4:9" ht="15">
      <c r="D626" s="6"/>
      <c r="E626" s="6"/>
      <c r="F626" s="46"/>
      <c r="G626" s="8"/>
      <c r="I626" s="9">
        <f>_xlfn.XLOOKUP(Timeform[[#This Row],[Vaardigheid]],Lijsten!C:C,Lijsten!A:A)</f>
        <v>0</v>
      </c>
    </row>
    <row r="627" spans="4:9" ht="15">
      <c r="D627" s="6"/>
      <c r="E627" s="6"/>
      <c r="F627" s="46"/>
      <c r="G627" s="8"/>
      <c r="I627" s="9">
        <f>_xlfn.XLOOKUP(Timeform[[#This Row],[Vaardigheid]],Lijsten!C:C,Lijsten!A:A)</f>
        <v>0</v>
      </c>
    </row>
    <row r="628" spans="4:9" ht="15">
      <c r="D628" s="6"/>
      <c r="E628" s="6"/>
      <c r="F628" s="46"/>
      <c r="G628" s="8"/>
      <c r="I628" s="9">
        <f>_xlfn.XLOOKUP(Timeform[[#This Row],[Vaardigheid]],Lijsten!C:C,Lijsten!A:A)</f>
        <v>0</v>
      </c>
    </row>
    <row r="629" spans="4:9" ht="15">
      <c r="D629" s="6"/>
      <c r="E629" s="6"/>
      <c r="F629" s="46"/>
      <c r="G629" s="8"/>
      <c r="I629" s="9">
        <f>_xlfn.XLOOKUP(Timeform[[#This Row],[Vaardigheid]],Lijsten!C:C,Lijsten!A:A)</f>
        <v>0</v>
      </c>
    </row>
    <row r="630" spans="4:9" ht="15">
      <c r="D630" s="6"/>
      <c r="E630" s="6"/>
      <c r="F630" s="46"/>
      <c r="G630" s="8"/>
      <c r="I630" s="9">
        <f>_xlfn.XLOOKUP(Timeform[[#This Row],[Vaardigheid]],Lijsten!C:C,Lijsten!A:A)</f>
        <v>0</v>
      </c>
    </row>
    <row r="631" spans="4:9" ht="15">
      <c r="D631" s="6"/>
      <c r="E631" s="6"/>
      <c r="F631" s="46"/>
      <c r="G631" s="8"/>
      <c r="I631" s="9">
        <f>_xlfn.XLOOKUP(Timeform[[#This Row],[Vaardigheid]],Lijsten!C:C,Lijsten!A:A)</f>
        <v>0</v>
      </c>
    </row>
    <row r="632" spans="4:9" ht="15">
      <c r="D632" s="6"/>
      <c r="E632" s="6"/>
      <c r="F632" s="46"/>
      <c r="G632" s="8"/>
      <c r="I632" s="9">
        <f>_xlfn.XLOOKUP(Timeform[[#This Row],[Vaardigheid]],Lijsten!C:C,Lijsten!A:A)</f>
        <v>0</v>
      </c>
    </row>
    <row r="633" spans="4:9" ht="15">
      <c r="D633" s="6"/>
      <c r="E633" s="6"/>
      <c r="F633" s="46"/>
      <c r="G633" s="8"/>
      <c r="I633" s="9">
        <f>_xlfn.XLOOKUP(Timeform[[#This Row],[Vaardigheid]],Lijsten!C:C,Lijsten!A:A)</f>
        <v>0</v>
      </c>
    </row>
    <row r="634" spans="4:9" ht="15">
      <c r="D634" s="6"/>
      <c r="E634" s="6"/>
      <c r="F634" s="46"/>
      <c r="G634" s="8"/>
      <c r="I634" s="9">
        <f>_xlfn.XLOOKUP(Timeform[[#This Row],[Vaardigheid]],Lijsten!C:C,Lijsten!A:A)</f>
        <v>0</v>
      </c>
    </row>
    <row r="635" spans="4:9" ht="15">
      <c r="D635" s="6"/>
      <c r="E635" s="6"/>
      <c r="F635" s="46"/>
      <c r="G635" s="8"/>
      <c r="I635" s="9">
        <f>_xlfn.XLOOKUP(Timeform[[#This Row],[Vaardigheid]],Lijsten!C:C,Lijsten!A:A)</f>
        <v>0</v>
      </c>
    </row>
    <row r="636" spans="4:9" ht="15">
      <c r="D636" s="6"/>
      <c r="E636" s="6"/>
      <c r="F636" s="46"/>
      <c r="G636" s="8"/>
      <c r="I636" s="9">
        <f>_xlfn.XLOOKUP(Timeform[[#This Row],[Vaardigheid]],Lijsten!C:C,Lijsten!A:A)</f>
        <v>0</v>
      </c>
    </row>
    <row r="637" spans="4:9" ht="15">
      <c r="D637" s="6"/>
      <c r="E637" s="6"/>
      <c r="F637" s="46"/>
      <c r="G637" s="8"/>
      <c r="I637" s="9">
        <f>_xlfn.XLOOKUP(Timeform[[#This Row],[Vaardigheid]],Lijsten!C:C,Lijsten!A:A)</f>
        <v>0</v>
      </c>
    </row>
    <row r="638" spans="4:9" ht="15">
      <c r="D638" s="6"/>
      <c r="E638" s="6"/>
      <c r="F638" s="46"/>
      <c r="G638" s="8"/>
      <c r="I638" s="9">
        <f>_xlfn.XLOOKUP(Timeform[[#This Row],[Vaardigheid]],Lijsten!C:C,Lijsten!A:A)</f>
        <v>0</v>
      </c>
    </row>
    <row r="639" spans="4:9" ht="15">
      <c r="D639" s="6"/>
      <c r="E639" s="6"/>
      <c r="F639" s="46"/>
      <c r="G639" s="8"/>
      <c r="I639" s="9">
        <f>_xlfn.XLOOKUP(Timeform[[#This Row],[Vaardigheid]],Lijsten!C:C,Lijsten!A:A)</f>
        <v>0</v>
      </c>
    </row>
    <row r="640" spans="4:9" ht="15">
      <c r="D640" s="6"/>
      <c r="E640" s="6"/>
      <c r="F640" s="46"/>
      <c r="G640" s="8"/>
      <c r="I640" s="9">
        <f>_xlfn.XLOOKUP(Timeform[[#This Row],[Vaardigheid]],Lijsten!C:C,Lijsten!A:A)</f>
        <v>0</v>
      </c>
    </row>
    <row r="641" spans="4:9" ht="15">
      <c r="D641" s="6"/>
      <c r="E641" s="6"/>
      <c r="F641" s="46"/>
      <c r="G641" s="8"/>
      <c r="I641" s="9">
        <f>_xlfn.XLOOKUP(Timeform[[#This Row],[Vaardigheid]],Lijsten!C:C,Lijsten!A:A)</f>
        <v>0</v>
      </c>
    </row>
    <row r="642" spans="4:9" ht="15">
      <c r="D642" s="6"/>
      <c r="E642" s="6"/>
      <c r="F642" s="46"/>
      <c r="G642" s="8"/>
      <c r="I642" s="9">
        <f>_xlfn.XLOOKUP(Timeform[[#This Row],[Vaardigheid]],Lijsten!C:C,Lijsten!A:A)</f>
        <v>0</v>
      </c>
    </row>
    <row r="643" spans="4:9" ht="15">
      <c r="D643" s="6"/>
      <c r="E643" s="6"/>
      <c r="F643" s="46"/>
      <c r="G643" s="8"/>
      <c r="I643" s="9">
        <f>_xlfn.XLOOKUP(Timeform[[#This Row],[Vaardigheid]],Lijsten!C:C,Lijsten!A:A)</f>
        <v>0</v>
      </c>
    </row>
    <row r="644" spans="4:9" ht="15">
      <c r="D644" s="6"/>
      <c r="E644" s="6"/>
      <c r="F644" s="46"/>
      <c r="G644" s="8"/>
      <c r="I644" s="9">
        <f>_xlfn.XLOOKUP(Timeform[[#This Row],[Vaardigheid]],Lijsten!C:C,Lijsten!A:A)</f>
        <v>0</v>
      </c>
    </row>
    <row r="645" spans="4:9" ht="15">
      <c r="D645" s="6"/>
      <c r="E645" s="6"/>
      <c r="F645" s="46"/>
      <c r="G645" s="8"/>
      <c r="I645" s="9">
        <f>_xlfn.XLOOKUP(Timeform[[#This Row],[Vaardigheid]],Lijsten!C:C,Lijsten!A:A)</f>
        <v>0</v>
      </c>
    </row>
    <row r="646" spans="4:9" ht="15">
      <c r="D646" s="6"/>
      <c r="E646" s="6"/>
      <c r="F646" s="46"/>
      <c r="G646" s="8"/>
      <c r="I646" s="9">
        <f>_xlfn.XLOOKUP(Timeform[[#This Row],[Vaardigheid]],Lijsten!C:C,Lijsten!A:A)</f>
        <v>0</v>
      </c>
    </row>
    <row r="647" spans="4:9" ht="15">
      <c r="D647" s="6"/>
      <c r="E647" s="6"/>
      <c r="F647" s="46"/>
      <c r="G647" s="8"/>
      <c r="I647" s="9">
        <f>_xlfn.XLOOKUP(Timeform[[#This Row],[Vaardigheid]],Lijsten!C:C,Lijsten!A:A)</f>
        <v>0</v>
      </c>
    </row>
    <row r="648" spans="4:9" ht="15">
      <c r="D648" s="6"/>
      <c r="E648" s="6"/>
      <c r="F648" s="46"/>
      <c r="G648" s="8"/>
      <c r="I648" s="9">
        <f>_xlfn.XLOOKUP(Timeform[[#This Row],[Vaardigheid]],Lijsten!C:C,Lijsten!A:A)</f>
        <v>0</v>
      </c>
    </row>
    <row r="649" spans="4:9" ht="15">
      <c r="D649" s="6"/>
      <c r="E649" s="6"/>
      <c r="F649" s="46"/>
      <c r="G649" s="8"/>
      <c r="I649" s="9">
        <f>_xlfn.XLOOKUP(Timeform[[#This Row],[Vaardigheid]],Lijsten!C:C,Lijsten!A:A)</f>
        <v>0</v>
      </c>
    </row>
    <row r="650" spans="4:9" ht="15">
      <c r="D650" s="6"/>
      <c r="E650" s="6"/>
      <c r="F650" s="46"/>
      <c r="G650" s="8"/>
      <c r="I650" s="9">
        <f>_xlfn.XLOOKUP(Timeform[[#This Row],[Vaardigheid]],Lijsten!C:C,Lijsten!A:A)</f>
        <v>0</v>
      </c>
    </row>
    <row r="651" spans="4:9" ht="15">
      <c r="D651" s="6"/>
      <c r="E651" s="6"/>
      <c r="F651" s="46"/>
      <c r="G651" s="8"/>
      <c r="I651" s="9">
        <f>_xlfn.XLOOKUP(Timeform[[#This Row],[Vaardigheid]],Lijsten!C:C,Lijsten!A:A)</f>
        <v>0</v>
      </c>
    </row>
    <row r="652" spans="4:9" ht="15">
      <c r="D652" s="6"/>
      <c r="E652" s="6"/>
      <c r="F652" s="46"/>
      <c r="G652" s="8"/>
      <c r="I652" s="9">
        <f>_xlfn.XLOOKUP(Timeform[[#This Row],[Vaardigheid]],Lijsten!C:C,Lijsten!A:A)</f>
        <v>0</v>
      </c>
    </row>
    <row r="653" spans="4:9" ht="15">
      <c r="D653" s="6"/>
      <c r="E653" s="6"/>
      <c r="F653" s="46"/>
      <c r="G653" s="8"/>
      <c r="I653" s="9">
        <f>_xlfn.XLOOKUP(Timeform[[#This Row],[Vaardigheid]],Lijsten!C:C,Lijsten!A:A)</f>
        <v>0</v>
      </c>
    </row>
    <row r="654" spans="4:9" ht="15">
      <c r="D654" s="6"/>
      <c r="E654" s="6"/>
      <c r="F654" s="46"/>
      <c r="G654" s="8"/>
      <c r="I654" s="9">
        <f>_xlfn.XLOOKUP(Timeform[[#This Row],[Vaardigheid]],Lijsten!C:C,Lijsten!A:A)</f>
        <v>0</v>
      </c>
    </row>
    <row r="655" spans="4:9" ht="15">
      <c r="D655" s="6"/>
      <c r="E655" s="6"/>
      <c r="F655" s="46"/>
      <c r="G655" s="8"/>
      <c r="I655" s="9">
        <f>_xlfn.XLOOKUP(Timeform[[#This Row],[Vaardigheid]],Lijsten!C:C,Lijsten!A:A)</f>
        <v>0</v>
      </c>
    </row>
    <row r="656" spans="4:9" ht="15">
      <c r="D656" s="6"/>
      <c r="E656" s="6"/>
      <c r="F656" s="46"/>
      <c r="G656" s="8"/>
      <c r="I656" s="9">
        <f>_xlfn.XLOOKUP(Timeform[[#This Row],[Vaardigheid]],Lijsten!C:C,Lijsten!A:A)</f>
        <v>0</v>
      </c>
    </row>
    <row r="657" spans="4:9" ht="15">
      <c r="D657" s="6"/>
      <c r="E657" s="6"/>
      <c r="F657" s="46"/>
      <c r="G657" s="8"/>
      <c r="I657" s="9">
        <f>_xlfn.XLOOKUP(Timeform[[#This Row],[Vaardigheid]],Lijsten!C:C,Lijsten!A:A)</f>
        <v>0</v>
      </c>
    </row>
    <row r="658" spans="4:9" ht="15">
      <c r="D658" s="6"/>
      <c r="E658" s="6"/>
      <c r="F658" s="46"/>
      <c r="G658" s="8"/>
      <c r="I658" s="9">
        <f>_xlfn.XLOOKUP(Timeform[[#This Row],[Vaardigheid]],Lijsten!C:C,Lijsten!A:A)</f>
        <v>0</v>
      </c>
    </row>
    <row r="659" spans="4:9" ht="15">
      <c r="D659" s="6"/>
      <c r="E659" s="6"/>
      <c r="F659" s="46"/>
      <c r="G659" s="8"/>
      <c r="I659" s="9">
        <f>_xlfn.XLOOKUP(Timeform[[#This Row],[Vaardigheid]],Lijsten!C:C,Lijsten!A:A)</f>
        <v>0</v>
      </c>
    </row>
    <row r="660" spans="4:9" ht="15">
      <c r="D660" s="6"/>
      <c r="E660" s="6"/>
      <c r="F660" s="46"/>
      <c r="G660" s="8"/>
      <c r="I660" s="9">
        <f>_xlfn.XLOOKUP(Timeform[[#This Row],[Vaardigheid]],Lijsten!C:C,Lijsten!A:A)</f>
        <v>0</v>
      </c>
    </row>
    <row r="661" spans="4:9" ht="15">
      <c r="D661" s="6"/>
      <c r="E661" s="6"/>
      <c r="F661" s="46"/>
      <c r="G661" s="8"/>
      <c r="I661" s="9">
        <f>_xlfn.XLOOKUP(Timeform[[#This Row],[Vaardigheid]],Lijsten!C:C,Lijsten!A:A)</f>
        <v>0</v>
      </c>
    </row>
    <row r="662" spans="4:9" ht="15">
      <c r="D662" s="6"/>
      <c r="E662" s="6"/>
      <c r="F662" s="46"/>
      <c r="G662" s="8"/>
      <c r="I662" s="9">
        <f>_xlfn.XLOOKUP(Timeform[[#This Row],[Vaardigheid]],Lijsten!C:C,Lijsten!A:A)</f>
        <v>0</v>
      </c>
    </row>
    <row r="663" spans="4:9" ht="15">
      <c r="D663" s="6"/>
      <c r="E663" s="6"/>
      <c r="F663" s="46"/>
      <c r="G663" s="8"/>
      <c r="I663" s="9">
        <f>_xlfn.XLOOKUP(Timeform[[#This Row],[Vaardigheid]],Lijsten!C:C,Lijsten!A:A)</f>
        <v>0</v>
      </c>
    </row>
    <row r="664" spans="4:9" ht="15">
      <c r="D664" s="6"/>
      <c r="E664" s="6"/>
      <c r="F664" s="46"/>
      <c r="G664" s="8"/>
      <c r="I664" s="9">
        <f>_xlfn.XLOOKUP(Timeform[[#This Row],[Vaardigheid]],Lijsten!C:C,Lijsten!A:A)</f>
        <v>0</v>
      </c>
    </row>
    <row r="665" spans="4:9" ht="15">
      <c r="D665" s="6"/>
      <c r="E665" s="6"/>
      <c r="F665" s="46"/>
      <c r="G665" s="8"/>
      <c r="I665" s="9">
        <f>_xlfn.XLOOKUP(Timeform[[#This Row],[Vaardigheid]],Lijsten!C:C,Lijsten!A:A)</f>
        <v>0</v>
      </c>
    </row>
    <row r="666" spans="4:9" ht="15">
      <c r="D666" s="6"/>
      <c r="E666" s="6"/>
      <c r="F666" s="46"/>
      <c r="G666" s="8"/>
      <c r="I666" s="9">
        <f>_xlfn.XLOOKUP(Timeform[[#This Row],[Vaardigheid]],Lijsten!C:C,Lijsten!A:A)</f>
        <v>0</v>
      </c>
    </row>
    <row r="667" spans="4:9" ht="15">
      <c r="D667" s="6"/>
      <c r="E667" s="6"/>
      <c r="F667" s="46"/>
      <c r="G667" s="8"/>
      <c r="I667" s="9">
        <f>_xlfn.XLOOKUP(Timeform[[#This Row],[Vaardigheid]],Lijsten!C:C,Lijsten!A:A)</f>
        <v>0</v>
      </c>
    </row>
    <row r="668" spans="4:9" ht="15">
      <c r="D668" s="6"/>
      <c r="E668" s="6"/>
      <c r="F668" s="46"/>
      <c r="G668" s="8"/>
      <c r="I668" s="9">
        <f>_xlfn.XLOOKUP(Timeform[[#This Row],[Vaardigheid]],Lijsten!C:C,Lijsten!A:A)</f>
        <v>0</v>
      </c>
    </row>
    <row r="669" spans="4:9" ht="15">
      <c r="D669" s="6"/>
      <c r="E669" s="6"/>
      <c r="F669" s="46"/>
      <c r="G669" s="8"/>
      <c r="I669" s="9">
        <f>_xlfn.XLOOKUP(Timeform[[#This Row],[Vaardigheid]],Lijsten!C:C,Lijsten!A:A)</f>
        <v>0</v>
      </c>
    </row>
    <row r="670" spans="4:9" ht="15">
      <c r="D670" s="6"/>
      <c r="E670" s="6"/>
      <c r="F670" s="46"/>
      <c r="G670" s="8"/>
      <c r="I670" s="9">
        <f>_xlfn.XLOOKUP(Timeform[[#This Row],[Vaardigheid]],Lijsten!C:C,Lijsten!A:A)</f>
        <v>0</v>
      </c>
    </row>
    <row r="671" spans="4:9" ht="15">
      <c r="D671" s="6"/>
      <c r="E671" s="6"/>
      <c r="F671" s="46"/>
      <c r="G671" s="8"/>
      <c r="I671" s="9">
        <f>_xlfn.XLOOKUP(Timeform[[#This Row],[Vaardigheid]],Lijsten!C:C,Lijsten!A:A)</f>
        <v>0</v>
      </c>
    </row>
    <row r="672" spans="4:9" ht="15">
      <c r="D672" s="6"/>
      <c r="E672" s="6"/>
      <c r="F672" s="46"/>
      <c r="G672" s="8"/>
      <c r="I672" s="9">
        <f>_xlfn.XLOOKUP(Timeform[[#This Row],[Vaardigheid]],Lijsten!C:C,Lijsten!A:A)</f>
        <v>0</v>
      </c>
    </row>
    <row r="673" spans="4:9" ht="15">
      <c r="D673" s="6"/>
      <c r="E673" s="6"/>
      <c r="F673" s="46"/>
      <c r="G673" s="8"/>
      <c r="I673" s="9">
        <f>_xlfn.XLOOKUP(Timeform[[#This Row],[Vaardigheid]],Lijsten!C:C,Lijsten!A:A)</f>
        <v>0</v>
      </c>
    </row>
    <row r="674" spans="4:9" ht="15">
      <c r="D674" s="6"/>
      <c r="E674" s="6"/>
      <c r="F674" s="46"/>
      <c r="G674" s="8"/>
      <c r="I674" s="9">
        <f>_xlfn.XLOOKUP(Timeform[[#This Row],[Vaardigheid]],Lijsten!C:C,Lijsten!A:A)</f>
        <v>0</v>
      </c>
    </row>
    <row r="675" spans="4:9" ht="15">
      <c r="D675" s="6"/>
      <c r="E675" s="6"/>
      <c r="F675" s="46"/>
      <c r="G675" s="8"/>
      <c r="I675" s="9">
        <f>_xlfn.XLOOKUP(Timeform[[#This Row],[Vaardigheid]],Lijsten!C:C,Lijsten!A:A)</f>
        <v>0</v>
      </c>
    </row>
    <row r="676" spans="4:9" ht="15">
      <c r="D676" s="6"/>
      <c r="E676" s="6"/>
      <c r="F676" s="46"/>
      <c r="G676" s="8"/>
      <c r="I676" s="9">
        <f>_xlfn.XLOOKUP(Timeform[[#This Row],[Vaardigheid]],Lijsten!C:C,Lijsten!A:A)</f>
        <v>0</v>
      </c>
    </row>
    <row r="677" spans="4:9" ht="15">
      <c r="D677" s="6"/>
      <c r="E677" s="6"/>
      <c r="F677" s="46"/>
      <c r="G677" s="8"/>
      <c r="I677" s="9">
        <f>_xlfn.XLOOKUP(Timeform[[#This Row],[Vaardigheid]],Lijsten!C:C,Lijsten!A:A)</f>
        <v>0</v>
      </c>
    </row>
    <row r="678" spans="4:9" ht="15">
      <c r="D678" s="6"/>
      <c r="E678" s="6"/>
      <c r="F678" s="46"/>
      <c r="G678" s="8"/>
      <c r="I678" s="9">
        <f>_xlfn.XLOOKUP(Timeform[[#This Row],[Vaardigheid]],Lijsten!C:C,Lijsten!A:A)</f>
        <v>0</v>
      </c>
    </row>
    <row r="679" spans="4:9" ht="15">
      <c r="D679" s="6"/>
      <c r="E679" s="6"/>
      <c r="F679" s="46"/>
      <c r="G679" s="8"/>
      <c r="I679" s="9">
        <f>_xlfn.XLOOKUP(Timeform[[#This Row],[Vaardigheid]],Lijsten!C:C,Lijsten!A:A)</f>
        <v>0</v>
      </c>
    </row>
    <row r="680" spans="4:9" ht="15">
      <c r="D680" s="6"/>
      <c r="E680" s="6"/>
      <c r="F680" s="46"/>
      <c r="G680" s="8"/>
      <c r="I680" s="9">
        <f>_xlfn.XLOOKUP(Timeform[[#This Row],[Vaardigheid]],Lijsten!C:C,Lijsten!A:A)</f>
        <v>0</v>
      </c>
    </row>
    <row r="681" spans="4:9" ht="15">
      <c r="D681" s="6"/>
      <c r="E681" s="6"/>
      <c r="F681" s="46"/>
      <c r="G681" s="8"/>
      <c r="I681" s="9">
        <f>_xlfn.XLOOKUP(Timeform[[#This Row],[Vaardigheid]],Lijsten!C:C,Lijsten!A:A)</f>
        <v>0</v>
      </c>
    </row>
    <row r="682" spans="4:9" ht="15">
      <c r="D682" s="6"/>
      <c r="E682" s="6"/>
      <c r="F682" s="46"/>
      <c r="G682" s="8"/>
      <c r="I682" s="9">
        <f>_xlfn.XLOOKUP(Timeform[[#This Row],[Vaardigheid]],Lijsten!C:C,Lijsten!A:A)</f>
        <v>0</v>
      </c>
    </row>
    <row r="683" spans="4:9" ht="15">
      <c r="D683" s="6"/>
      <c r="E683" s="6"/>
      <c r="F683" s="46"/>
      <c r="G683" s="8"/>
      <c r="I683" s="9">
        <f>_xlfn.XLOOKUP(Timeform[[#This Row],[Vaardigheid]],Lijsten!C:C,Lijsten!A:A)</f>
        <v>0</v>
      </c>
    </row>
    <row r="684" spans="4:9" ht="15">
      <c r="D684" s="6"/>
      <c r="E684" s="6"/>
      <c r="F684" s="46"/>
      <c r="G684" s="8"/>
      <c r="I684" s="9">
        <f>_xlfn.XLOOKUP(Timeform[[#This Row],[Vaardigheid]],Lijsten!C:C,Lijsten!A:A)</f>
        <v>0</v>
      </c>
    </row>
    <row r="685" spans="4:9" ht="15">
      <c r="D685" s="6"/>
      <c r="E685" s="6"/>
      <c r="F685" s="46"/>
      <c r="G685" s="8"/>
      <c r="I685" s="9">
        <f>_xlfn.XLOOKUP(Timeform[[#This Row],[Vaardigheid]],Lijsten!C:C,Lijsten!A:A)</f>
        <v>0</v>
      </c>
    </row>
    <row r="686" spans="4:9" ht="15">
      <c r="D686" s="6"/>
      <c r="E686" s="6"/>
      <c r="F686" s="46"/>
      <c r="G686" s="8"/>
      <c r="I686" s="9">
        <f>_xlfn.XLOOKUP(Timeform[[#This Row],[Vaardigheid]],Lijsten!C:C,Lijsten!A:A)</f>
        <v>0</v>
      </c>
    </row>
    <row r="687" spans="4:9" ht="15">
      <c r="D687" s="6"/>
      <c r="E687" s="6"/>
      <c r="F687" s="46"/>
      <c r="G687" s="8"/>
      <c r="I687" s="9">
        <f>_xlfn.XLOOKUP(Timeform[[#This Row],[Vaardigheid]],Lijsten!C:C,Lijsten!A:A)</f>
        <v>0</v>
      </c>
    </row>
    <row r="688" spans="4:9" ht="15">
      <c r="D688" s="6"/>
      <c r="E688" s="6"/>
      <c r="F688" s="46"/>
      <c r="G688" s="8"/>
      <c r="I688" s="9">
        <f>_xlfn.XLOOKUP(Timeform[[#This Row],[Vaardigheid]],Lijsten!C:C,Lijsten!A:A)</f>
        <v>0</v>
      </c>
    </row>
    <row r="689" spans="4:9" ht="15">
      <c r="D689" s="6"/>
      <c r="E689" s="6"/>
      <c r="F689" s="46"/>
      <c r="G689" s="8"/>
      <c r="I689" s="9">
        <f>_xlfn.XLOOKUP(Timeform[[#This Row],[Vaardigheid]],Lijsten!C:C,Lijsten!A:A)</f>
        <v>0</v>
      </c>
    </row>
    <row r="690" spans="4:9" ht="15">
      <c r="D690" s="6"/>
      <c r="E690" s="6"/>
      <c r="F690" s="46"/>
      <c r="G690" s="8"/>
      <c r="I690" s="9">
        <f>_xlfn.XLOOKUP(Timeform[[#This Row],[Vaardigheid]],Lijsten!C:C,Lijsten!A:A)</f>
        <v>0</v>
      </c>
    </row>
    <row r="691" spans="4:9" ht="15">
      <c r="D691" s="6"/>
      <c r="E691" s="6"/>
      <c r="F691" s="46"/>
      <c r="G691" s="8"/>
      <c r="I691" s="9">
        <f>_xlfn.XLOOKUP(Timeform[[#This Row],[Vaardigheid]],Lijsten!C:C,Lijsten!A:A)</f>
        <v>0</v>
      </c>
    </row>
    <row r="692" spans="4:9" ht="15">
      <c r="D692" s="6"/>
      <c r="E692" s="6"/>
      <c r="F692" s="46"/>
      <c r="G692" s="8"/>
      <c r="I692" s="9">
        <f>_xlfn.XLOOKUP(Timeform[[#This Row],[Vaardigheid]],Lijsten!C:C,Lijsten!A:A)</f>
        <v>0</v>
      </c>
    </row>
    <row r="693" spans="4:9" ht="15">
      <c r="D693" s="6"/>
      <c r="E693" s="6"/>
      <c r="F693" s="46"/>
      <c r="G693" s="8"/>
      <c r="I693" s="9">
        <f>_xlfn.XLOOKUP(Timeform[[#This Row],[Vaardigheid]],Lijsten!C:C,Lijsten!A:A)</f>
        <v>0</v>
      </c>
    </row>
    <row r="694" spans="4:9" ht="15">
      <c r="D694" s="6"/>
      <c r="E694" s="6"/>
      <c r="F694" s="46"/>
      <c r="G694" s="8"/>
      <c r="I694" s="9">
        <f>_xlfn.XLOOKUP(Timeform[[#This Row],[Vaardigheid]],Lijsten!C:C,Lijsten!A:A)</f>
        <v>0</v>
      </c>
    </row>
    <row r="695" spans="4:9" ht="15">
      <c r="D695" s="6"/>
      <c r="E695" s="6"/>
      <c r="F695" s="46"/>
      <c r="G695" s="8"/>
      <c r="I695" s="9">
        <f>_xlfn.XLOOKUP(Timeform[[#This Row],[Vaardigheid]],Lijsten!C:C,Lijsten!A:A)</f>
        <v>0</v>
      </c>
    </row>
    <row r="696" spans="4:9" ht="15">
      <c r="D696" s="6"/>
      <c r="E696" s="6"/>
      <c r="F696" s="46"/>
      <c r="G696" s="8"/>
      <c r="I696" s="9">
        <f>_xlfn.XLOOKUP(Timeform[[#This Row],[Vaardigheid]],Lijsten!C:C,Lijsten!A:A)</f>
        <v>0</v>
      </c>
    </row>
    <row r="697" spans="4:9" ht="15">
      <c r="D697" s="6"/>
      <c r="E697" s="6"/>
      <c r="F697" s="46"/>
      <c r="G697" s="8"/>
      <c r="I697" s="9">
        <f>_xlfn.XLOOKUP(Timeform[[#This Row],[Vaardigheid]],Lijsten!C:C,Lijsten!A:A)</f>
        <v>0</v>
      </c>
    </row>
    <row r="698" spans="4:9" ht="15">
      <c r="D698" s="6"/>
      <c r="E698" s="6"/>
      <c r="F698" s="46"/>
      <c r="G698" s="8"/>
      <c r="I698" s="9">
        <f>_xlfn.XLOOKUP(Timeform[[#This Row],[Vaardigheid]],Lijsten!C:C,Lijsten!A:A)</f>
        <v>0</v>
      </c>
    </row>
    <row r="699" spans="4:9" ht="15">
      <c r="D699" s="6"/>
      <c r="E699" s="6"/>
      <c r="F699" s="46"/>
      <c r="G699" s="8"/>
      <c r="I699" s="9">
        <f>_xlfn.XLOOKUP(Timeform[[#This Row],[Vaardigheid]],Lijsten!C:C,Lijsten!A:A)</f>
        <v>0</v>
      </c>
    </row>
    <row r="700" spans="4:9" ht="15">
      <c r="D700" s="6"/>
      <c r="E700" s="6"/>
      <c r="F700" s="46"/>
      <c r="G700" s="8"/>
      <c r="I700" s="9">
        <f>_xlfn.XLOOKUP(Timeform[[#This Row],[Vaardigheid]],Lijsten!C:C,Lijsten!A:A)</f>
        <v>0</v>
      </c>
    </row>
    <row r="701" spans="4:9" ht="15">
      <c r="D701" s="6"/>
      <c r="E701" s="6"/>
      <c r="F701" s="46"/>
      <c r="G701" s="8"/>
      <c r="I701" s="9">
        <f>_xlfn.XLOOKUP(Timeform[[#This Row],[Vaardigheid]],Lijsten!C:C,Lijsten!A:A)</f>
        <v>0</v>
      </c>
    </row>
    <row r="702" spans="4:9" ht="15">
      <c r="D702" s="6"/>
      <c r="E702" s="6"/>
      <c r="F702" s="46"/>
      <c r="G702" s="8"/>
      <c r="I702" s="9">
        <f>_xlfn.XLOOKUP(Timeform[[#This Row],[Vaardigheid]],Lijsten!C:C,Lijsten!A:A)</f>
        <v>0</v>
      </c>
    </row>
    <row r="703" spans="4:9" ht="15">
      <c r="D703" s="6"/>
      <c r="E703" s="6"/>
      <c r="F703" s="46"/>
      <c r="G703" s="8"/>
      <c r="I703" s="9">
        <f>_xlfn.XLOOKUP(Timeform[[#This Row],[Vaardigheid]],Lijsten!C:C,Lijsten!A:A)</f>
        <v>0</v>
      </c>
    </row>
    <row r="704" spans="4:9" ht="15">
      <c r="D704" s="6"/>
      <c r="E704" s="6"/>
      <c r="F704" s="46"/>
      <c r="G704" s="8"/>
      <c r="I704" s="9">
        <f>_xlfn.XLOOKUP(Timeform[[#This Row],[Vaardigheid]],Lijsten!C:C,Lijsten!A:A)</f>
        <v>0</v>
      </c>
    </row>
    <row r="705" spans="4:9" ht="15">
      <c r="D705" s="6"/>
      <c r="E705" s="6"/>
      <c r="F705" s="46"/>
      <c r="G705" s="8"/>
      <c r="I705" s="9">
        <f>_xlfn.XLOOKUP(Timeform[[#This Row],[Vaardigheid]],Lijsten!C:C,Lijsten!A:A)</f>
        <v>0</v>
      </c>
    </row>
    <row r="706" spans="4:9" ht="15">
      <c r="D706" s="6"/>
      <c r="E706" s="6"/>
      <c r="F706" s="46"/>
      <c r="G706" s="8"/>
      <c r="I706" s="9">
        <f>_xlfn.XLOOKUP(Timeform[[#This Row],[Vaardigheid]],Lijsten!C:C,Lijsten!A:A)</f>
        <v>0</v>
      </c>
    </row>
    <row r="707" spans="4:9" ht="15">
      <c r="D707" s="6"/>
      <c r="E707" s="6"/>
      <c r="F707" s="46"/>
      <c r="G707" s="8"/>
      <c r="I707" s="9">
        <f>_xlfn.XLOOKUP(Timeform[[#This Row],[Vaardigheid]],Lijsten!C:C,Lijsten!A:A)</f>
        <v>0</v>
      </c>
    </row>
    <row r="708" spans="4:9" ht="15">
      <c r="D708" s="6"/>
      <c r="E708" s="6"/>
      <c r="F708" s="46"/>
      <c r="G708" s="8"/>
      <c r="I708" s="9">
        <f>_xlfn.XLOOKUP(Timeform[[#This Row],[Vaardigheid]],Lijsten!C:C,Lijsten!A:A)</f>
        <v>0</v>
      </c>
    </row>
    <row r="709" spans="4:9" ht="15">
      <c r="D709" s="6"/>
      <c r="E709" s="6"/>
      <c r="F709" s="46"/>
      <c r="G709" s="8"/>
      <c r="I709" s="9">
        <f>_xlfn.XLOOKUP(Timeform[[#This Row],[Vaardigheid]],Lijsten!C:C,Lijsten!A:A)</f>
        <v>0</v>
      </c>
    </row>
    <row r="710" spans="4:9" ht="15">
      <c r="D710" s="6"/>
      <c r="E710" s="6"/>
      <c r="F710" s="46"/>
      <c r="G710" s="8"/>
      <c r="I710" s="9">
        <f>_xlfn.XLOOKUP(Timeform[[#This Row],[Vaardigheid]],Lijsten!C:C,Lijsten!A:A)</f>
        <v>0</v>
      </c>
    </row>
    <row r="711" spans="4:9" ht="15">
      <c r="D711" s="6"/>
      <c r="E711" s="6"/>
      <c r="F711" s="46"/>
      <c r="G711" s="8"/>
      <c r="I711" s="9">
        <f>_xlfn.XLOOKUP(Timeform[[#This Row],[Vaardigheid]],Lijsten!C:C,Lijsten!A:A)</f>
        <v>0</v>
      </c>
    </row>
    <row r="712" spans="4:9" ht="15">
      <c r="D712" s="6"/>
      <c r="E712" s="6"/>
      <c r="F712" s="46"/>
      <c r="G712" s="8"/>
      <c r="I712" s="9">
        <f>_xlfn.XLOOKUP(Timeform[[#This Row],[Vaardigheid]],Lijsten!C:C,Lijsten!A:A)</f>
        <v>0</v>
      </c>
    </row>
    <row r="713" spans="4:9" ht="15">
      <c r="D713" s="6"/>
      <c r="E713" s="6"/>
      <c r="F713" s="46"/>
      <c r="G713" s="8"/>
      <c r="I713" s="9">
        <f>_xlfn.XLOOKUP(Timeform[[#This Row],[Vaardigheid]],Lijsten!C:C,Lijsten!A:A)</f>
        <v>0</v>
      </c>
    </row>
    <row r="714" spans="4:9" ht="15">
      <c r="D714" s="6"/>
      <c r="E714" s="6"/>
      <c r="F714" s="46"/>
      <c r="G714" s="8"/>
      <c r="I714" s="9">
        <f>_xlfn.XLOOKUP(Timeform[[#This Row],[Vaardigheid]],Lijsten!C:C,Lijsten!A:A)</f>
        <v>0</v>
      </c>
    </row>
    <row r="715" spans="4:9" ht="15">
      <c r="D715" s="6"/>
      <c r="E715" s="6"/>
      <c r="F715" s="46"/>
      <c r="G715" s="8"/>
      <c r="I715" s="9">
        <f>_xlfn.XLOOKUP(Timeform[[#This Row],[Vaardigheid]],Lijsten!C:C,Lijsten!A:A)</f>
        <v>0</v>
      </c>
    </row>
    <row r="716" spans="4:9" ht="15">
      <c r="D716" s="6"/>
      <c r="E716" s="6"/>
      <c r="F716" s="46"/>
      <c r="G716" s="8"/>
      <c r="I716" s="9">
        <f>_xlfn.XLOOKUP(Timeform[[#This Row],[Vaardigheid]],Lijsten!C:C,Lijsten!A:A)</f>
        <v>0</v>
      </c>
    </row>
    <row r="717" spans="4:9" ht="15">
      <c r="D717" s="6"/>
      <c r="E717" s="6"/>
      <c r="F717" s="46"/>
      <c r="G717" s="8"/>
      <c r="I717" s="9">
        <f>_xlfn.XLOOKUP(Timeform[[#This Row],[Vaardigheid]],Lijsten!C:C,Lijsten!A:A)</f>
        <v>0</v>
      </c>
    </row>
    <row r="718" spans="4:9" ht="15">
      <c r="D718" s="6"/>
      <c r="E718" s="6"/>
      <c r="F718" s="46"/>
      <c r="G718" s="8"/>
      <c r="I718" s="9">
        <f>_xlfn.XLOOKUP(Timeform[[#This Row],[Vaardigheid]],Lijsten!C:C,Lijsten!A:A)</f>
        <v>0</v>
      </c>
    </row>
    <row r="719" spans="4:9" ht="15">
      <c r="D719" s="6"/>
      <c r="E719" s="6"/>
      <c r="F719" s="46"/>
      <c r="G719" s="8"/>
      <c r="I719" s="9">
        <f>_xlfn.XLOOKUP(Timeform[[#This Row],[Vaardigheid]],Lijsten!C:C,Lijsten!A:A)</f>
        <v>0</v>
      </c>
    </row>
    <row r="720" spans="4:9" ht="15">
      <c r="D720" s="6"/>
      <c r="E720" s="6"/>
      <c r="F720" s="46"/>
      <c r="G720" s="8"/>
      <c r="I720" s="9">
        <f>_xlfn.XLOOKUP(Timeform[[#This Row],[Vaardigheid]],Lijsten!C:C,Lijsten!A:A)</f>
        <v>0</v>
      </c>
    </row>
    <row r="721" spans="4:9" ht="15">
      <c r="D721" s="6"/>
      <c r="E721" s="6"/>
      <c r="F721" s="46"/>
      <c r="G721" s="8"/>
      <c r="I721" s="9">
        <f>_xlfn.XLOOKUP(Timeform[[#This Row],[Vaardigheid]],Lijsten!C:C,Lijsten!A:A)</f>
        <v>0</v>
      </c>
    </row>
    <row r="722" spans="4:9" ht="15">
      <c r="D722" s="6"/>
      <c r="E722" s="6"/>
      <c r="F722" s="46"/>
      <c r="G722" s="8"/>
      <c r="I722" s="9">
        <f>_xlfn.XLOOKUP(Timeform[[#This Row],[Vaardigheid]],Lijsten!C:C,Lijsten!A:A)</f>
        <v>0</v>
      </c>
    </row>
    <row r="723" spans="4:9" ht="15">
      <c r="D723" s="6"/>
      <c r="E723" s="6"/>
      <c r="F723" s="46"/>
      <c r="G723" s="8"/>
      <c r="I723" s="9">
        <f>_xlfn.XLOOKUP(Timeform[[#This Row],[Vaardigheid]],Lijsten!C:C,Lijsten!A:A)</f>
        <v>0</v>
      </c>
    </row>
    <row r="724" spans="4:9" ht="15">
      <c r="D724" s="6"/>
      <c r="E724" s="6"/>
      <c r="F724" s="46"/>
      <c r="G724" s="8"/>
      <c r="I724" s="9">
        <f>_xlfn.XLOOKUP(Timeform[[#This Row],[Vaardigheid]],Lijsten!C:C,Lijsten!A:A)</f>
        <v>0</v>
      </c>
    </row>
    <row r="725" spans="4:9" ht="15">
      <c r="D725" s="6"/>
      <c r="E725" s="6"/>
      <c r="F725" s="46"/>
      <c r="G725" s="8"/>
      <c r="I725" s="9">
        <f>_xlfn.XLOOKUP(Timeform[[#This Row],[Vaardigheid]],Lijsten!C:C,Lijsten!A:A)</f>
        <v>0</v>
      </c>
    </row>
    <row r="726" spans="4:9" ht="15">
      <c r="D726" s="6"/>
      <c r="E726" s="6"/>
      <c r="F726" s="46"/>
      <c r="G726" s="8"/>
      <c r="I726" s="9">
        <f>_xlfn.XLOOKUP(Timeform[[#This Row],[Vaardigheid]],Lijsten!C:C,Lijsten!A:A)</f>
        <v>0</v>
      </c>
    </row>
    <row r="727" spans="4:9" ht="15">
      <c r="D727" s="6"/>
      <c r="E727" s="6"/>
      <c r="F727" s="46"/>
      <c r="G727" s="8"/>
      <c r="I727" s="9">
        <f>_xlfn.XLOOKUP(Timeform[[#This Row],[Vaardigheid]],Lijsten!C:C,Lijsten!A:A)</f>
        <v>0</v>
      </c>
    </row>
    <row r="728" spans="4:9" ht="15">
      <c r="D728" s="6"/>
      <c r="E728" s="6"/>
      <c r="F728" s="46"/>
      <c r="G728" s="8"/>
      <c r="I728" s="9">
        <f>_xlfn.XLOOKUP(Timeform[[#This Row],[Vaardigheid]],Lijsten!C:C,Lijsten!A:A)</f>
        <v>0</v>
      </c>
    </row>
    <row r="729" spans="4:9" ht="15">
      <c r="D729" s="6"/>
      <c r="E729" s="6"/>
      <c r="F729" s="46"/>
      <c r="G729" s="8"/>
      <c r="I729" s="9">
        <f>_xlfn.XLOOKUP(Timeform[[#This Row],[Vaardigheid]],Lijsten!C:C,Lijsten!A:A)</f>
        <v>0</v>
      </c>
    </row>
    <row r="730" spans="4:9" ht="15">
      <c r="D730" s="6"/>
      <c r="E730" s="6"/>
      <c r="F730" s="46"/>
      <c r="G730" s="8"/>
      <c r="I730" s="9">
        <f>_xlfn.XLOOKUP(Timeform[[#This Row],[Vaardigheid]],Lijsten!C:C,Lijsten!A:A)</f>
        <v>0</v>
      </c>
    </row>
    <row r="731" spans="4:9" ht="15">
      <c r="D731" s="6"/>
      <c r="E731" s="6"/>
      <c r="F731" s="46"/>
      <c r="G731" s="8"/>
      <c r="I731" s="9">
        <f>_xlfn.XLOOKUP(Timeform[[#This Row],[Vaardigheid]],Lijsten!C:C,Lijsten!A:A)</f>
        <v>0</v>
      </c>
    </row>
    <row r="732" spans="4:9" ht="15">
      <c r="D732" s="6"/>
      <c r="E732" s="6"/>
      <c r="F732" s="46"/>
      <c r="G732" s="8"/>
      <c r="I732" s="9">
        <f>_xlfn.XLOOKUP(Timeform[[#This Row],[Vaardigheid]],Lijsten!C:C,Lijsten!A:A)</f>
        <v>0</v>
      </c>
    </row>
    <row r="733" spans="4:9" ht="15">
      <c r="D733" s="6"/>
      <c r="E733" s="6"/>
      <c r="F733" s="46"/>
      <c r="G733" s="8"/>
      <c r="I733" s="9">
        <f>_xlfn.XLOOKUP(Timeform[[#This Row],[Vaardigheid]],Lijsten!C:C,Lijsten!A:A)</f>
        <v>0</v>
      </c>
    </row>
    <row r="734" spans="4:9" ht="15">
      <c r="D734" s="6"/>
      <c r="E734" s="6"/>
      <c r="F734" s="46"/>
      <c r="G734" s="8"/>
      <c r="I734" s="9">
        <f>_xlfn.XLOOKUP(Timeform[[#This Row],[Vaardigheid]],Lijsten!C:C,Lijsten!A:A)</f>
        <v>0</v>
      </c>
    </row>
    <row r="735" spans="4:9" ht="15">
      <c r="D735" s="6"/>
      <c r="E735" s="6"/>
      <c r="F735" s="46"/>
      <c r="G735" s="8"/>
      <c r="I735" s="9">
        <f>_xlfn.XLOOKUP(Timeform[[#This Row],[Vaardigheid]],Lijsten!C:C,Lijsten!A:A)</f>
        <v>0</v>
      </c>
    </row>
    <row r="736" spans="4:9" ht="15">
      <c r="D736" s="6"/>
      <c r="E736" s="6"/>
      <c r="F736" s="46"/>
      <c r="G736" s="8"/>
      <c r="I736" s="9">
        <f>_xlfn.XLOOKUP(Timeform[[#This Row],[Vaardigheid]],Lijsten!C:C,Lijsten!A:A)</f>
        <v>0</v>
      </c>
    </row>
    <row r="737" spans="4:9" ht="15">
      <c r="D737" s="6"/>
      <c r="E737" s="6"/>
      <c r="F737" s="46"/>
      <c r="G737" s="8"/>
      <c r="I737" s="9">
        <f>_xlfn.XLOOKUP(Timeform[[#This Row],[Vaardigheid]],Lijsten!C:C,Lijsten!A:A)</f>
        <v>0</v>
      </c>
    </row>
    <row r="738" spans="4:9" ht="15">
      <c r="D738" s="6"/>
      <c r="E738" s="6"/>
      <c r="F738" s="46"/>
      <c r="G738" s="8"/>
      <c r="I738" s="9">
        <f>_xlfn.XLOOKUP(Timeform[[#This Row],[Vaardigheid]],Lijsten!C:C,Lijsten!A:A)</f>
        <v>0</v>
      </c>
    </row>
    <row r="739" spans="4:9" ht="15">
      <c r="D739" s="6"/>
      <c r="E739" s="6"/>
      <c r="F739" s="46"/>
      <c r="G739" s="8"/>
      <c r="I739" s="9">
        <f>_xlfn.XLOOKUP(Timeform[[#This Row],[Vaardigheid]],Lijsten!C:C,Lijsten!A:A)</f>
        <v>0</v>
      </c>
    </row>
    <row r="740" spans="4:9" ht="15">
      <c r="D740" s="6"/>
      <c r="E740" s="6"/>
      <c r="F740" s="46"/>
      <c r="G740" s="8"/>
      <c r="I740" s="9">
        <f>_xlfn.XLOOKUP(Timeform[[#This Row],[Vaardigheid]],Lijsten!C:C,Lijsten!A:A)</f>
        <v>0</v>
      </c>
    </row>
    <row r="741" spans="4:9" ht="15">
      <c r="D741" s="6"/>
      <c r="E741" s="6"/>
      <c r="F741" s="46"/>
      <c r="G741" s="8"/>
      <c r="I741" s="9">
        <f>_xlfn.XLOOKUP(Timeform[[#This Row],[Vaardigheid]],Lijsten!C:C,Lijsten!A:A)</f>
        <v>0</v>
      </c>
    </row>
    <row r="742" spans="4:9" ht="15">
      <c r="D742" s="6"/>
      <c r="E742" s="6"/>
      <c r="F742" s="46"/>
      <c r="G742" s="8"/>
      <c r="I742" s="9">
        <f>_xlfn.XLOOKUP(Timeform[[#This Row],[Vaardigheid]],Lijsten!C:C,Lijsten!A:A)</f>
        <v>0</v>
      </c>
    </row>
    <row r="743" spans="4:9" ht="15">
      <c r="D743" s="6"/>
      <c r="E743" s="6"/>
      <c r="F743" s="46"/>
      <c r="G743" s="8"/>
      <c r="I743" s="9">
        <f>_xlfn.XLOOKUP(Timeform[[#This Row],[Vaardigheid]],Lijsten!C:C,Lijsten!A:A)</f>
        <v>0</v>
      </c>
    </row>
    <row r="744" spans="4:9" ht="15">
      <c r="D744" s="6"/>
      <c r="E744" s="6"/>
      <c r="F744" s="46"/>
      <c r="G744" s="8"/>
      <c r="I744" s="9">
        <f>_xlfn.XLOOKUP(Timeform[[#This Row],[Vaardigheid]],Lijsten!C:C,Lijsten!A:A)</f>
        <v>0</v>
      </c>
    </row>
    <row r="745" spans="4:9" ht="15">
      <c r="D745" s="6"/>
      <c r="E745" s="6"/>
      <c r="F745" s="46"/>
      <c r="G745" s="8"/>
      <c r="I745" s="9">
        <f>_xlfn.XLOOKUP(Timeform[[#This Row],[Vaardigheid]],Lijsten!C:C,Lijsten!A:A)</f>
        <v>0</v>
      </c>
    </row>
    <row r="746" spans="4:9" ht="15">
      <c r="D746" s="6"/>
      <c r="E746" s="6"/>
      <c r="F746" s="46"/>
      <c r="G746" s="8"/>
      <c r="I746" s="9">
        <f>_xlfn.XLOOKUP(Timeform[[#This Row],[Vaardigheid]],Lijsten!C:C,Lijsten!A:A)</f>
        <v>0</v>
      </c>
    </row>
    <row r="747" spans="4:9" ht="15">
      <c r="D747" s="6"/>
      <c r="E747" s="6"/>
      <c r="F747" s="46"/>
      <c r="G747" s="8"/>
      <c r="I747" s="9">
        <f>_xlfn.XLOOKUP(Timeform[[#This Row],[Vaardigheid]],Lijsten!C:C,Lijsten!A:A)</f>
        <v>0</v>
      </c>
    </row>
    <row r="748" spans="4:9" ht="15">
      <c r="D748" s="6"/>
      <c r="E748" s="6"/>
      <c r="F748" s="46"/>
      <c r="G748" s="8"/>
      <c r="I748" s="9">
        <f>_xlfn.XLOOKUP(Timeform[[#This Row],[Vaardigheid]],Lijsten!C:C,Lijsten!A:A)</f>
        <v>0</v>
      </c>
    </row>
    <row r="749" spans="4:9" ht="15">
      <c r="D749" s="6"/>
      <c r="E749" s="6"/>
      <c r="F749" s="46"/>
      <c r="G749" s="8"/>
      <c r="I749" s="9">
        <f>_xlfn.XLOOKUP(Timeform[[#This Row],[Vaardigheid]],Lijsten!C:C,Lijsten!A:A)</f>
        <v>0</v>
      </c>
    </row>
    <row r="750" spans="4:9" ht="15">
      <c r="D750" s="6"/>
      <c r="E750" s="6"/>
      <c r="F750" s="46"/>
      <c r="G750" s="8"/>
      <c r="I750" s="9">
        <f>_xlfn.XLOOKUP(Timeform[[#This Row],[Vaardigheid]],Lijsten!C:C,Lijsten!A:A)</f>
        <v>0</v>
      </c>
    </row>
    <row r="751" spans="4:9" ht="15">
      <c r="D751" s="6"/>
      <c r="E751" s="6"/>
      <c r="F751" s="46"/>
      <c r="G751" s="8"/>
      <c r="I751" s="9">
        <f>_xlfn.XLOOKUP(Timeform[[#This Row],[Vaardigheid]],Lijsten!C:C,Lijsten!A:A)</f>
        <v>0</v>
      </c>
    </row>
    <row r="752" spans="4:9" ht="15">
      <c r="D752" s="6"/>
      <c r="E752" s="6"/>
      <c r="F752" s="46"/>
      <c r="G752" s="8"/>
      <c r="I752" s="9">
        <f>_xlfn.XLOOKUP(Timeform[[#This Row],[Vaardigheid]],Lijsten!C:C,Lijsten!A:A)</f>
        <v>0</v>
      </c>
    </row>
    <row r="753" spans="4:9" ht="15">
      <c r="D753" s="6"/>
      <c r="E753" s="6"/>
      <c r="F753" s="46"/>
      <c r="G753" s="8"/>
      <c r="I753" s="9">
        <f>_xlfn.XLOOKUP(Timeform[[#This Row],[Vaardigheid]],Lijsten!C:C,Lijsten!A:A)</f>
        <v>0</v>
      </c>
    </row>
    <row r="754" spans="4:9" ht="15">
      <c r="D754" s="6"/>
      <c r="E754" s="6"/>
      <c r="F754" s="46"/>
      <c r="G754" s="8"/>
      <c r="I754" s="9">
        <f>_xlfn.XLOOKUP(Timeform[[#This Row],[Vaardigheid]],Lijsten!C:C,Lijsten!A:A)</f>
        <v>0</v>
      </c>
    </row>
    <row r="755" spans="4:9" ht="15">
      <c r="D755" s="6"/>
      <c r="E755" s="6"/>
      <c r="F755" s="46"/>
      <c r="G755" s="8"/>
      <c r="I755" s="9">
        <f>_xlfn.XLOOKUP(Timeform[[#This Row],[Vaardigheid]],Lijsten!C:C,Lijsten!A:A)</f>
        <v>0</v>
      </c>
    </row>
    <row r="756" spans="4:9" ht="15">
      <c r="D756" s="6"/>
      <c r="E756" s="6"/>
      <c r="F756" s="46"/>
      <c r="G756" s="8"/>
      <c r="I756" s="9">
        <f>_xlfn.XLOOKUP(Timeform[[#This Row],[Vaardigheid]],Lijsten!C:C,Lijsten!A:A)</f>
        <v>0</v>
      </c>
    </row>
    <row r="757" spans="4:9" ht="15">
      <c r="D757" s="6"/>
      <c r="E757" s="6"/>
      <c r="F757" s="46"/>
      <c r="G757" s="8"/>
      <c r="I757" s="9">
        <f>_xlfn.XLOOKUP(Timeform[[#This Row],[Vaardigheid]],Lijsten!C:C,Lijsten!A:A)</f>
        <v>0</v>
      </c>
    </row>
    <row r="758" spans="4:9" ht="15">
      <c r="D758" s="6"/>
      <c r="E758" s="6"/>
      <c r="F758" s="46"/>
      <c r="G758" s="8"/>
      <c r="I758" s="9">
        <f>_xlfn.XLOOKUP(Timeform[[#This Row],[Vaardigheid]],Lijsten!C:C,Lijsten!A:A)</f>
        <v>0</v>
      </c>
    </row>
    <row r="759" spans="4:9" ht="15">
      <c r="D759" s="6"/>
      <c r="E759" s="6"/>
      <c r="F759" s="46"/>
      <c r="G759" s="8"/>
      <c r="I759" s="9">
        <f>_xlfn.XLOOKUP(Timeform[[#This Row],[Vaardigheid]],Lijsten!C:C,Lijsten!A:A)</f>
        <v>0</v>
      </c>
    </row>
    <row r="760" spans="4:9" ht="15">
      <c r="D760" s="6"/>
      <c r="E760" s="6"/>
      <c r="F760" s="46"/>
      <c r="G760" s="8"/>
      <c r="I760" s="9">
        <f>_xlfn.XLOOKUP(Timeform[[#This Row],[Vaardigheid]],Lijsten!C:C,Lijsten!A:A)</f>
        <v>0</v>
      </c>
    </row>
    <row r="761" spans="4:9" ht="15">
      <c r="D761" s="6"/>
      <c r="E761" s="6"/>
      <c r="F761" s="46"/>
      <c r="G761" s="8"/>
      <c r="I761" s="9">
        <f>_xlfn.XLOOKUP(Timeform[[#This Row],[Vaardigheid]],Lijsten!C:C,Lijsten!A:A)</f>
        <v>0</v>
      </c>
    </row>
    <row r="762" spans="4:9" ht="15">
      <c r="D762" s="6"/>
      <c r="E762" s="6"/>
      <c r="F762" s="46"/>
      <c r="G762" s="8"/>
      <c r="I762" s="9">
        <f>_xlfn.XLOOKUP(Timeform[[#This Row],[Vaardigheid]],Lijsten!C:C,Lijsten!A:A)</f>
        <v>0</v>
      </c>
    </row>
    <row r="763" spans="4:9" ht="15">
      <c r="D763" s="6"/>
      <c r="E763" s="6"/>
      <c r="F763" s="46"/>
      <c r="G763" s="8"/>
      <c r="I763" s="9">
        <f>_xlfn.XLOOKUP(Timeform[[#This Row],[Vaardigheid]],Lijsten!C:C,Lijsten!A:A)</f>
        <v>0</v>
      </c>
    </row>
    <row r="764" spans="4:9" ht="15">
      <c r="D764" s="6"/>
      <c r="E764" s="6"/>
      <c r="F764" s="46"/>
      <c r="G764" s="8"/>
      <c r="I764" s="9">
        <f>_xlfn.XLOOKUP(Timeform[[#This Row],[Vaardigheid]],Lijsten!C:C,Lijsten!A:A)</f>
        <v>0</v>
      </c>
    </row>
    <row r="765" spans="4:9" ht="15">
      <c r="D765" s="6"/>
      <c r="E765" s="6"/>
      <c r="F765" s="46"/>
      <c r="G765" s="8"/>
      <c r="I765" s="9">
        <f>_xlfn.XLOOKUP(Timeform[[#This Row],[Vaardigheid]],Lijsten!C:C,Lijsten!A:A)</f>
        <v>0</v>
      </c>
    </row>
    <row r="766" spans="4:9" ht="15">
      <c r="D766" s="6"/>
      <c r="E766" s="6"/>
      <c r="F766" s="46"/>
      <c r="G766" s="8"/>
      <c r="I766" s="9">
        <f>_xlfn.XLOOKUP(Timeform[[#This Row],[Vaardigheid]],Lijsten!C:C,Lijsten!A:A)</f>
        <v>0</v>
      </c>
    </row>
    <row r="767" spans="4:9" ht="15">
      <c r="D767" s="6"/>
      <c r="E767" s="6"/>
      <c r="F767" s="46"/>
      <c r="G767" s="8"/>
      <c r="I767" s="9">
        <f>_xlfn.XLOOKUP(Timeform[[#This Row],[Vaardigheid]],Lijsten!C:C,Lijsten!A:A)</f>
        <v>0</v>
      </c>
    </row>
    <row r="768" spans="4:9" ht="15">
      <c r="D768" s="6"/>
      <c r="E768" s="6"/>
      <c r="F768" s="46"/>
      <c r="G768" s="8"/>
      <c r="I768" s="9">
        <f>_xlfn.XLOOKUP(Timeform[[#This Row],[Vaardigheid]],Lijsten!C:C,Lijsten!A:A)</f>
        <v>0</v>
      </c>
    </row>
    <row r="769" spans="4:9" ht="15">
      <c r="D769" s="6"/>
      <c r="E769" s="6"/>
      <c r="F769" s="46"/>
      <c r="G769" s="8"/>
      <c r="I769" s="9">
        <f>_xlfn.XLOOKUP(Timeform[[#This Row],[Vaardigheid]],Lijsten!C:C,Lijsten!A:A)</f>
        <v>0</v>
      </c>
    </row>
    <row r="770" spans="4:9" ht="15">
      <c r="D770" s="6"/>
      <c r="E770" s="6"/>
      <c r="F770" s="46"/>
      <c r="G770" s="8"/>
      <c r="I770" s="9">
        <f>_xlfn.XLOOKUP(Timeform[[#This Row],[Vaardigheid]],Lijsten!C:C,Lijsten!A:A)</f>
        <v>0</v>
      </c>
    </row>
    <row r="771" spans="4:9" ht="15">
      <c r="D771" s="6"/>
      <c r="E771" s="6"/>
      <c r="F771" s="46"/>
      <c r="G771" s="8"/>
      <c r="I771" s="9">
        <f>_xlfn.XLOOKUP(Timeform[[#This Row],[Vaardigheid]],Lijsten!C:C,Lijsten!A:A)</f>
        <v>0</v>
      </c>
    </row>
    <row r="772" spans="4:9" ht="15">
      <c r="D772" s="6"/>
      <c r="E772" s="6"/>
      <c r="F772" s="46"/>
      <c r="G772" s="8"/>
      <c r="I772" s="9">
        <f>_xlfn.XLOOKUP(Timeform[[#This Row],[Vaardigheid]],Lijsten!C:C,Lijsten!A:A)</f>
        <v>0</v>
      </c>
    </row>
    <row r="773" spans="4:9" ht="15">
      <c r="D773" s="6"/>
      <c r="E773" s="6"/>
      <c r="F773" s="46"/>
      <c r="G773" s="8"/>
      <c r="I773" s="9">
        <f>_xlfn.XLOOKUP(Timeform[[#This Row],[Vaardigheid]],Lijsten!C:C,Lijsten!A:A)</f>
        <v>0</v>
      </c>
    </row>
    <row r="774" spans="4:9" ht="15">
      <c r="D774" s="6"/>
      <c r="E774" s="6"/>
      <c r="F774" s="46"/>
      <c r="G774" s="8"/>
      <c r="I774" s="9">
        <f>_xlfn.XLOOKUP(Timeform[[#This Row],[Vaardigheid]],Lijsten!C:C,Lijsten!A:A)</f>
        <v>0</v>
      </c>
    </row>
    <row r="775" spans="4:9" ht="15">
      <c r="D775" s="6"/>
      <c r="E775" s="6"/>
      <c r="F775" s="46"/>
      <c r="G775" s="8"/>
      <c r="I775" s="9">
        <f>_xlfn.XLOOKUP(Timeform[[#This Row],[Vaardigheid]],Lijsten!C:C,Lijsten!A:A)</f>
        <v>0</v>
      </c>
    </row>
    <row r="776" spans="4:9" ht="15">
      <c r="D776" s="6"/>
      <c r="E776" s="6"/>
      <c r="F776" s="46"/>
      <c r="G776" s="8"/>
      <c r="I776" s="9">
        <f>_xlfn.XLOOKUP(Timeform[[#This Row],[Vaardigheid]],Lijsten!C:C,Lijsten!A:A)</f>
        <v>0</v>
      </c>
    </row>
    <row r="777" spans="4:9" ht="15">
      <c r="D777" s="6"/>
      <c r="E777" s="6"/>
      <c r="F777" s="46"/>
      <c r="G777" s="8"/>
      <c r="I777" s="9">
        <f>_xlfn.XLOOKUP(Timeform[[#This Row],[Vaardigheid]],Lijsten!C:C,Lijsten!A:A)</f>
        <v>0</v>
      </c>
    </row>
    <row r="778" spans="4:9" ht="15">
      <c r="D778" s="6"/>
      <c r="E778" s="6"/>
      <c r="F778" s="46"/>
      <c r="G778" s="8"/>
      <c r="I778" s="9">
        <f>_xlfn.XLOOKUP(Timeform[[#This Row],[Vaardigheid]],Lijsten!C:C,Lijsten!A:A)</f>
        <v>0</v>
      </c>
    </row>
    <row r="779" spans="4:9" ht="15">
      <c r="D779" s="6"/>
      <c r="E779" s="6"/>
      <c r="F779" s="46"/>
      <c r="G779" s="8"/>
      <c r="I779" s="9">
        <f>_xlfn.XLOOKUP(Timeform[[#This Row],[Vaardigheid]],Lijsten!C:C,Lijsten!A:A)</f>
        <v>0</v>
      </c>
    </row>
    <row r="780" spans="4:9" ht="15">
      <c r="D780" s="6"/>
      <c r="E780" s="6"/>
      <c r="F780" s="46"/>
      <c r="G780" s="8"/>
      <c r="I780" s="9">
        <f>_xlfn.XLOOKUP(Timeform[[#This Row],[Vaardigheid]],Lijsten!C:C,Lijsten!A:A)</f>
        <v>0</v>
      </c>
    </row>
    <row r="781" spans="4:9" ht="15">
      <c r="D781" s="6"/>
      <c r="E781" s="6"/>
      <c r="F781" s="46"/>
      <c r="G781" s="8"/>
      <c r="I781" s="9">
        <f>_xlfn.XLOOKUP(Timeform[[#This Row],[Vaardigheid]],Lijsten!C:C,Lijsten!A:A)</f>
        <v>0</v>
      </c>
    </row>
    <row r="782" spans="4:9" ht="15">
      <c r="D782" s="6"/>
      <c r="E782" s="6"/>
      <c r="F782" s="46"/>
      <c r="G782" s="8"/>
      <c r="I782" s="9">
        <f>_xlfn.XLOOKUP(Timeform[[#This Row],[Vaardigheid]],Lijsten!C:C,Lijsten!A:A)</f>
        <v>0</v>
      </c>
    </row>
    <row r="783" spans="4:9" ht="15">
      <c r="D783" s="6"/>
      <c r="E783" s="6"/>
      <c r="F783" s="46"/>
      <c r="G783" s="8"/>
      <c r="I783" s="9">
        <f>_xlfn.XLOOKUP(Timeform[[#This Row],[Vaardigheid]],Lijsten!C:C,Lijsten!A:A)</f>
        <v>0</v>
      </c>
    </row>
    <row r="784" spans="4:9" ht="15">
      <c r="D784" s="6"/>
      <c r="E784" s="6"/>
      <c r="F784" s="46"/>
      <c r="G784" s="8"/>
      <c r="I784" s="9">
        <f>_xlfn.XLOOKUP(Timeform[[#This Row],[Vaardigheid]],Lijsten!C:C,Lijsten!A:A)</f>
        <v>0</v>
      </c>
    </row>
    <row r="785" spans="4:9" ht="15">
      <c r="D785" s="6"/>
      <c r="E785" s="6"/>
      <c r="F785" s="46"/>
      <c r="G785" s="8"/>
      <c r="I785" s="9">
        <f>_xlfn.XLOOKUP(Timeform[[#This Row],[Vaardigheid]],Lijsten!C:C,Lijsten!A:A)</f>
        <v>0</v>
      </c>
    </row>
    <row r="786" spans="4:9" ht="15">
      <c r="D786" s="6"/>
      <c r="E786" s="6"/>
      <c r="F786" s="46"/>
      <c r="G786" s="8"/>
      <c r="I786" s="9">
        <f>_xlfn.XLOOKUP(Timeform[[#This Row],[Vaardigheid]],Lijsten!C:C,Lijsten!A:A)</f>
        <v>0</v>
      </c>
    </row>
    <row r="787" spans="4:9" ht="15">
      <c r="D787" s="6"/>
      <c r="E787" s="6"/>
      <c r="F787" s="46"/>
      <c r="G787" s="8"/>
      <c r="I787" s="9">
        <f>_xlfn.XLOOKUP(Timeform[[#This Row],[Vaardigheid]],Lijsten!C:C,Lijsten!A:A)</f>
        <v>0</v>
      </c>
    </row>
    <row r="788" spans="4:9" ht="15">
      <c r="D788" s="6"/>
      <c r="E788" s="6"/>
      <c r="F788" s="46"/>
      <c r="G788" s="8"/>
      <c r="I788" s="9">
        <f>_xlfn.XLOOKUP(Timeform[[#This Row],[Vaardigheid]],Lijsten!C:C,Lijsten!A:A)</f>
        <v>0</v>
      </c>
    </row>
    <row r="789" spans="4:9" ht="15">
      <c r="D789" s="6"/>
      <c r="E789" s="6"/>
      <c r="F789" s="46"/>
      <c r="G789" s="8"/>
      <c r="I789" s="9">
        <f>_xlfn.XLOOKUP(Timeform[[#This Row],[Vaardigheid]],Lijsten!C:C,Lijsten!A:A)</f>
        <v>0</v>
      </c>
    </row>
    <row r="790" spans="4:9" ht="15">
      <c r="D790" s="6"/>
      <c r="E790" s="6"/>
      <c r="F790" s="46"/>
      <c r="G790" s="8"/>
      <c r="I790" s="9">
        <f>_xlfn.XLOOKUP(Timeform[[#This Row],[Vaardigheid]],Lijsten!C:C,Lijsten!A:A)</f>
        <v>0</v>
      </c>
    </row>
    <row r="791" spans="4:9" ht="15">
      <c r="D791" s="6"/>
      <c r="E791" s="6"/>
      <c r="F791" s="46"/>
      <c r="G791" s="8"/>
      <c r="I791" s="9">
        <f>_xlfn.XLOOKUP(Timeform[[#This Row],[Vaardigheid]],Lijsten!C:C,Lijsten!A:A)</f>
        <v>0</v>
      </c>
    </row>
    <row r="792" spans="4:9" ht="15">
      <c r="D792" s="6"/>
      <c r="E792" s="6"/>
      <c r="F792" s="46"/>
      <c r="G792" s="8"/>
      <c r="I792" s="9">
        <f>_xlfn.XLOOKUP(Timeform[[#This Row],[Vaardigheid]],Lijsten!C:C,Lijsten!A:A)</f>
        <v>0</v>
      </c>
    </row>
    <row r="793" spans="4:9" ht="15">
      <c r="D793" s="6"/>
      <c r="E793" s="6"/>
      <c r="F793" s="46"/>
      <c r="G793" s="8"/>
      <c r="I793" s="9">
        <f>_xlfn.XLOOKUP(Timeform[[#This Row],[Vaardigheid]],Lijsten!C:C,Lijsten!A:A)</f>
        <v>0</v>
      </c>
    </row>
    <row r="794" spans="4:9" ht="15">
      <c r="D794" s="6"/>
      <c r="E794" s="6"/>
      <c r="F794" s="46"/>
      <c r="G794" s="8"/>
      <c r="I794" s="9">
        <f>_xlfn.XLOOKUP(Timeform[[#This Row],[Vaardigheid]],Lijsten!C:C,Lijsten!A:A)</f>
        <v>0</v>
      </c>
    </row>
    <row r="795" spans="4:9" ht="15">
      <c r="D795" s="6"/>
      <c r="E795" s="6"/>
      <c r="F795" s="46"/>
      <c r="G795" s="8"/>
      <c r="I795" s="9">
        <f>_xlfn.XLOOKUP(Timeform[[#This Row],[Vaardigheid]],Lijsten!C:C,Lijsten!A:A)</f>
        <v>0</v>
      </c>
    </row>
    <row r="796" spans="4:9" ht="15">
      <c r="D796" s="6"/>
      <c r="E796" s="6"/>
      <c r="F796" s="46"/>
      <c r="G796" s="8"/>
      <c r="I796" s="9">
        <f>_xlfn.XLOOKUP(Timeform[[#This Row],[Vaardigheid]],Lijsten!C:C,Lijsten!A:A)</f>
        <v>0</v>
      </c>
    </row>
    <row r="797" spans="4:9" ht="15">
      <c r="D797" s="6"/>
      <c r="E797" s="6"/>
      <c r="F797" s="46"/>
      <c r="G797" s="8"/>
      <c r="I797" s="9">
        <f>_xlfn.XLOOKUP(Timeform[[#This Row],[Vaardigheid]],Lijsten!C:C,Lijsten!A:A)</f>
        <v>0</v>
      </c>
    </row>
    <row r="798" spans="4:9" ht="15">
      <c r="D798" s="6"/>
      <c r="E798" s="6"/>
      <c r="F798" s="46"/>
      <c r="G798" s="8"/>
      <c r="I798" s="9">
        <f>_xlfn.XLOOKUP(Timeform[[#This Row],[Vaardigheid]],Lijsten!C:C,Lijsten!A:A)</f>
        <v>0</v>
      </c>
    </row>
    <row r="799" spans="4:9" ht="15">
      <c r="D799" s="6"/>
      <c r="E799" s="6"/>
      <c r="F799" s="46"/>
      <c r="G799" s="8"/>
      <c r="I799" s="9">
        <f>_xlfn.XLOOKUP(Timeform[[#This Row],[Vaardigheid]],Lijsten!C:C,Lijsten!A:A)</f>
        <v>0</v>
      </c>
    </row>
    <row r="800" spans="4:9" ht="15">
      <c r="D800" s="6"/>
      <c r="E800" s="6"/>
      <c r="F800" s="46"/>
      <c r="G800" s="8"/>
      <c r="I800" s="9">
        <f>_xlfn.XLOOKUP(Timeform[[#This Row],[Vaardigheid]],Lijsten!C:C,Lijsten!A:A)</f>
        <v>0</v>
      </c>
    </row>
    <row r="801" spans="4:9" ht="15">
      <c r="D801" s="6"/>
      <c r="E801" s="6"/>
      <c r="F801" s="46"/>
      <c r="G801" s="8"/>
      <c r="I801" s="9">
        <f>_xlfn.XLOOKUP(Timeform[[#This Row],[Vaardigheid]],Lijsten!C:C,Lijsten!A:A)</f>
        <v>0</v>
      </c>
    </row>
    <row r="802" spans="4:9" ht="15">
      <c r="D802" s="6"/>
      <c r="E802" s="6"/>
      <c r="F802" s="46"/>
      <c r="G802" s="8"/>
      <c r="I802" s="9">
        <f>_xlfn.XLOOKUP(Timeform[[#This Row],[Vaardigheid]],Lijsten!C:C,Lijsten!A:A)</f>
        <v>0</v>
      </c>
    </row>
    <row r="803" spans="4:9" ht="15">
      <c r="D803" s="6"/>
      <c r="E803" s="6"/>
      <c r="F803" s="46"/>
      <c r="G803" s="8"/>
      <c r="I803" s="9">
        <f>_xlfn.XLOOKUP(Timeform[[#This Row],[Vaardigheid]],Lijsten!C:C,Lijsten!A:A)</f>
        <v>0</v>
      </c>
    </row>
    <row r="804" spans="4:9" ht="15">
      <c r="D804" s="6"/>
      <c r="E804" s="6"/>
      <c r="F804" s="46"/>
      <c r="G804" s="8"/>
      <c r="I804" s="9">
        <f>_xlfn.XLOOKUP(Timeform[[#This Row],[Vaardigheid]],Lijsten!C:C,Lijsten!A:A)</f>
        <v>0</v>
      </c>
    </row>
    <row r="805" spans="4:9" ht="15">
      <c r="D805" s="6"/>
      <c r="E805" s="6"/>
      <c r="F805" s="46"/>
      <c r="G805" s="8"/>
      <c r="I805" s="9">
        <f>_xlfn.XLOOKUP(Timeform[[#This Row],[Vaardigheid]],Lijsten!C:C,Lijsten!A:A)</f>
        <v>0</v>
      </c>
    </row>
    <row r="806" spans="4:9" ht="15">
      <c r="D806" s="6"/>
      <c r="E806" s="6"/>
      <c r="F806" s="46"/>
      <c r="G806" s="8"/>
      <c r="I806" s="9">
        <f>_xlfn.XLOOKUP(Timeform[[#This Row],[Vaardigheid]],Lijsten!C:C,Lijsten!A:A)</f>
        <v>0</v>
      </c>
    </row>
    <row r="807" spans="4:9" ht="15">
      <c r="D807" s="6"/>
      <c r="E807" s="6"/>
      <c r="F807" s="46"/>
      <c r="G807" s="8"/>
      <c r="I807" s="9">
        <f>_xlfn.XLOOKUP(Timeform[[#This Row],[Vaardigheid]],Lijsten!C:C,Lijsten!A:A)</f>
        <v>0</v>
      </c>
    </row>
    <row r="808" spans="4:9" ht="15">
      <c r="D808" s="6"/>
      <c r="E808" s="6"/>
      <c r="F808" s="46"/>
      <c r="G808" s="8"/>
      <c r="I808" s="9">
        <f>_xlfn.XLOOKUP(Timeform[[#This Row],[Vaardigheid]],Lijsten!C:C,Lijsten!A:A)</f>
        <v>0</v>
      </c>
    </row>
    <row r="809" spans="4:9" ht="15">
      <c r="D809" s="6"/>
      <c r="E809" s="6"/>
      <c r="F809" s="46"/>
      <c r="G809" s="8"/>
      <c r="I809" s="9">
        <f>_xlfn.XLOOKUP(Timeform[[#This Row],[Vaardigheid]],Lijsten!C:C,Lijsten!A:A)</f>
        <v>0</v>
      </c>
    </row>
    <row r="810" spans="4:9" ht="15">
      <c r="D810" s="6"/>
      <c r="E810" s="6"/>
      <c r="F810" s="46"/>
      <c r="G810" s="8"/>
      <c r="I810" s="9">
        <f>_xlfn.XLOOKUP(Timeform[[#This Row],[Vaardigheid]],Lijsten!C:C,Lijsten!A:A)</f>
        <v>0</v>
      </c>
    </row>
    <row r="811" spans="4:9" ht="15">
      <c r="D811" s="6"/>
      <c r="E811" s="6"/>
      <c r="F811" s="46"/>
      <c r="G811" s="8"/>
      <c r="I811" s="9">
        <f>_xlfn.XLOOKUP(Timeform[[#This Row],[Vaardigheid]],Lijsten!C:C,Lijsten!A:A)</f>
        <v>0</v>
      </c>
    </row>
    <row r="812" spans="4:9" ht="15">
      <c r="D812" s="6"/>
      <c r="E812" s="6"/>
      <c r="F812" s="46"/>
      <c r="G812" s="8"/>
      <c r="I812" s="9">
        <f>_xlfn.XLOOKUP(Timeform[[#This Row],[Vaardigheid]],Lijsten!C:C,Lijsten!A:A)</f>
        <v>0</v>
      </c>
    </row>
    <row r="813" spans="4:9" ht="15">
      <c r="D813" s="6"/>
      <c r="E813" s="6"/>
      <c r="F813" s="46"/>
      <c r="G813" s="8"/>
      <c r="I813" s="9">
        <f>_xlfn.XLOOKUP(Timeform[[#This Row],[Vaardigheid]],Lijsten!C:C,Lijsten!A:A)</f>
        <v>0</v>
      </c>
    </row>
    <row r="814" spans="4:9" ht="15">
      <c r="D814" s="6"/>
      <c r="E814" s="6"/>
      <c r="F814" s="46"/>
      <c r="G814" s="8"/>
      <c r="I814" s="9">
        <f>_xlfn.XLOOKUP(Timeform[[#This Row],[Vaardigheid]],Lijsten!C:C,Lijsten!A:A)</f>
        <v>0</v>
      </c>
    </row>
    <row r="815" spans="4:9" ht="15">
      <c r="D815" s="6"/>
      <c r="E815" s="6"/>
      <c r="F815" s="46"/>
      <c r="G815" s="8"/>
      <c r="I815" s="9">
        <f>_xlfn.XLOOKUP(Timeform[[#This Row],[Vaardigheid]],Lijsten!C:C,Lijsten!A:A)</f>
        <v>0</v>
      </c>
    </row>
    <row r="816" spans="4:9" ht="15">
      <c r="D816" s="6"/>
      <c r="E816" s="6"/>
      <c r="F816" s="46"/>
      <c r="G816" s="8"/>
      <c r="I816" s="9">
        <f>_xlfn.XLOOKUP(Timeform[[#This Row],[Vaardigheid]],Lijsten!C:C,Lijsten!A:A)</f>
        <v>0</v>
      </c>
    </row>
    <row r="817" spans="4:9" ht="15">
      <c r="D817" s="6"/>
      <c r="E817" s="6"/>
      <c r="F817" s="46"/>
      <c r="G817" s="8"/>
      <c r="I817" s="9">
        <f>_xlfn.XLOOKUP(Timeform[[#This Row],[Vaardigheid]],Lijsten!C:C,Lijsten!A:A)</f>
        <v>0</v>
      </c>
    </row>
    <row r="818" spans="4:9" ht="15">
      <c r="D818" s="6"/>
      <c r="E818" s="6"/>
      <c r="F818" s="46"/>
      <c r="G818" s="8"/>
      <c r="I818" s="9">
        <f>_xlfn.XLOOKUP(Timeform[[#This Row],[Vaardigheid]],Lijsten!C:C,Lijsten!A:A)</f>
        <v>0</v>
      </c>
    </row>
    <row r="819" spans="4:9" ht="15">
      <c r="D819" s="6"/>
      <c r="E819" s="6"/>
      <c r="F819" s="46"/>
      <c r="G819" s="8"/>
      <c r="I819" s="9">
        <f>_xlfn.XLOOKUP(Timeform[[#This Row],[Vaardigheid]],Lijsten!C:C,Lijsten!A:A)</f>
        <v>0</v>
      </c>
    </row>
    <row r="820" spans="4:9" ht="15">
      <c r="D820" s="6"/>
      <c r="E820" s="6"/>
      <c r="F820" s="46"/>
      <c r="G820" s="8"/>
      <c r="I820" s="9">
        <f>_xlfn.XLOOKUP(Timeform[[#This Row],[Vaardigheid]],Lijsten!C:C,Lijsten!A:A)</f>
        <v>0</v>
      </c>
    </row>
    <row r="821" spans="4:9" ht="15">
      <c r="D821" s="6"/>
      <c r="E821" s="6"/>
      <c r="F821" s="46"/>
      <c r="G821" s="8"/>
      <c r="I821" s="9">
        <f>_xlfn.XLOOKUP(Timeform[[#This Row],[Vaardigheid]],Lijsten!C:C,Lijsten!A:A)</f>
        <v>0</v>
      </c>
    </row>
    <row r="822" spans="4:9" ht="15">
      <c r="D822" s="6"/>
      <c r="E822" s="6"/>
      <c r="F822" s="46"/>
      <c r="G822" s="8"/>
      <c r="I822" s="9">
        <f>_xlfn.XLOOKUP(Timeform[[#This Row],[Vaardigheid]],Lijsten!C:C,Lijsten!A:A)</f>
        <v>0</v>
      </c>
    </row>
    <row r="823" spans="4:9" ht="15">
      <c r="D823" s="6"/>
      <c r="E823" s="6"/>
      <c r="F823" s="46"/>
      <c r="G823" s="8"/>
      <c r="I823" s="9">
        <f>_xlfn.XLOOKUP(Timeform[[#This Row],[Vaardigheid]],Lijsten!C:C,Lijsten!A:A)</f>
        <v>0</v>
      </c>
    </row>
    <row r="824" spans="4:9" ht="15">
      <c r="D824" s="6"/>
      <c r="E824" s="6"/>
      <c r="F824" s="46"/>
      <c r="G824" s="8"/>
      <c r="I824" s="9">
        <f>_xlfn.XLOOKUP(Timeform[[#This Row],[Vaardigheid]],Lijsten!C:C,Lijsten!A:A)</f>
        <v>0</v>
      </c>
    </row>
    <row r="825" spans="4:9" ht="15">
      <c r="D825" s="6"/>
      <c r="E825" s="6"/>
      <c r="F825" s="46"/>
      <c r="G825" s="8"/>
      <c r="I825" s="9">
        <f>_xlfn.XLOOKUP(Timeform[[#This Row],[Vaardigheid]],Lijsten!C:C,Lijsten!A:A)</f>
        <v>0</v>
      </c>
    </row>
    <row r="826" spans="4:9" ht="15">
      <c r="D826" s="6"/>
      <c r="E826" s="6"/>
      <c r="F826" s="46"/>
      <c r="G826" s="8"/>
      <c r="I826" s="9">
        <f>_xlfn.XLOOKUP(Timeform[[#This Row],[Vaardigheid]],Lijsten!C:C,Lijsten!A:A)</f>
        <v>0</v>
      </c>
    </row>
    <row r="827" spans="4:9" ht="15">
      <c r="D827" s="6"/>
      <c r="E827" s="6"/>
      <c r="F827" s="46"/>
      <c r="G827" s="8"/>
      <c r="I827" s="9">
        <f>_xlfn.XLOOKUP(Timeform[[#This Row],[Vaardigheid]],Lijsten!C:C,Lijsten!A:A)</f>
        <v>0</v>
      </c>
    </row>
    <row r="828" spans="4:9" ht="15">
      <c r="D828" s="6"/>
      <c r="E828" s="6"/>
      <c r="F828" s="46"/>
      <c r="G828" s="8"/>
      <c r="I828" s="9">
        <f>_xlfn.XLOOKUP(Timeform[[#This Row],[Vaardigheid]],Lijsten!C:C,Lijsten!A:A)</f>
        <v>0</v>
      </c>
    </row>
    <row r="829" spans="4:9" ht="15">
      <c r="D829" s="6"/>
      <c r="E829" s="6"/>
      <c r="F829" s="46"/>
      <c r="G829" s="8"/>
      <c r="I829" s="9">
        <f>_xlfn.XLOOKUP(Timeform[[#This Row],[Vaardigheid]],Lijsten!C:C,Lijsten!A:A)</f>
        <v>0</v>
      </c>
    </row>
    <row r="830" spans="4:9" ht="15">
      <c r="D830" s="6"/>
      <c r="E830" s="6"/>
      <c r="F830" s="46"/>
      <c r="G830" s="8"/>
      <c r="I830" s="9">
        <f>_xlfn.XLOOKUP(Timeform[[#This Row],[Vaardigheid]],Lijsten!C:C,Lijsten!A:A)</f>
        <v>0</v>
      </c>
    </row>
    <row r="831" spans="4:9" ht="15">
      <c r="D831" s="6"/>
      <c r="E831" s="6"/>
      <c r="F831" s="46"/>
      <c r="G831" s="8"/>
      <c r="I831" s="9">
        <f>_xlfn.XLOOKUP(Timeform[[#This Row],[Vaardigheid]],Lijsten!C:C,Lijsten!A:A)</f>
        <v>0</v>
      </c>
    </row>
    <row r="832" spans="4:9" ht="15">
      <c r="D832" s="6"/>
      <c r="E832" s="6"/>
      <c r="F832" s="46"/>
      <c r="G832" s="8"/>
      <c r="I832" s="9">
        <f>_xlfn.XLOOKUP(Timeform[[#This Row],[Vaardigheid]],Lijsten!C:C,Lijsten!A:A)</f>
        <v>0</v>
      </c>
    </row>
    <row r="833" spans="2:9" ht="15">
      <c r="D833" s="6"/>
      <c r="E833" s="6"/>
      <c r="F833" s="46"/>
      <c r="G833" s="8"/>
      <c r="I833" s="9">
        <f>_xlfn.XLOOKUP(Timeform[[#This Row],[Vaardigheid]],Lijsten!C:C,Lijsten!A:A)</f>
        <v>0</v>
      </c>
    </row>
    <row r="834" spans="2:9" ht="15">
      <c r="D834" s="6"/>
      <c r="E834" s="6"/>
      <c r="F834" s="46"/>
      <c r="G834" s="8"/>
      <c r="I834" s="9">
        <f>_xlfn.XLOOKUP(Timeform[[#This Row],[Vaardigheid]],Lijsten!C:C,Lijsten!A:A)</f>
        <v>0</v>
      </c>
    </row>
    <row r="835" spans="2:9" ht="15">
      <c r="D835" s="6"/>
      <c r="E835" s="6"/>
      <c r="F835" s="46"/>
      <c r="G835" s="8"/>
      <c r="I835" s="9">
        <f>_xlfn.XLOOKUP(Timeform[[#This Row],[Vaardigheid]],Lijsten!C:C,Lijsten!A:A)</f>
        <v>0</v>
      </c>
    </row>
    <row r="836" spans="2:9" ht="15">
      <c r="D836" s="6"/>
      <c r="E836" s="6"/>
      <c r="F836" s="46"/>
      <c r="G836" s="8"/>
      <c r="I836" s="9">
        <f>_xlfn.XLOOKUP(Timeform[[#This Row],[Vaardigheid]],Lijsten!C:C,Lijsten!A:A)</f>
        <v>0</v>
      </c>
    </row>
    <row r="837" spans="2:9" ht="15">
      <c r="D837" s="6"/>
      <c r="E837" s="6"/>
      <c r="F837" s="46"/>
      <c r="G837" s="8"/>
      <c r="I837" s="9">
        <f>_xlfn.XLOOKUP(Timeform[[#This Row],[Vaardigheid]],Lijsten!C:C,Lijsten!A:A)</f>
        <v>0</v>
      </c>
    </row>
    <row r="838" spans="2:9" ht="15">
      <c r="D838" s="6"/>
      <c r="E838" s="6"/>
      <c r="F838" s="46"/>
      <c r="G838" s="8"/>
      <c r="I838" s="9">
        <f>_xlfn.XLOOKUP(Timeform[[#This Row],[Vaardigheid]],Lijsten!C:C,Lijsten!A:A)</f>
        <v>0</v>
      </c>
    </row>
    <row r="839" spans="2:9" ht="15">
      <c r="D839" s="6"/>
      <c r="E839" s="6"/>
      <c r="F839" s="46"/>
      <c r="G839" s="8"/>
      <c r="I839" s="9">
        <f>_xlfn.XLOOKUP(Timeform[[#This Row],[Vaardigheid]],Lijsten!C:C,Lijsten!A:A)</f>
        <v>0</v>
      </c>
    </row>
    <row r="840" spans="2:9" ht="15">
      <c r="D840" s="6"/>
      <c r="E840" s="6"/>
      <c r="F840" s="46"/>
      <c r="G840" s="8"/>
      <c r="I840" s="95">
        <f>_xlfn.XLOOKUP(Timeform[[#This Row],[Vaardigheid]],Lijsten!C:C,Lijsten!A:A)</f>
        <v>0</v>
      </c>
    </row>
    <row r="841" spans="2:9" ht="15">
      <c r="B841" s="110"/>
      <c r="C841" s="114"/>
      <c r="D841" s="115"/>
      <c r="E841" s="115"/>
      <c r="F841" s="119"/>
      <c r="G841" s="124"/>
      <c r="H841" s="114"/>
      <c r="I841" s="95">
        <f>_xlfn.XLOOKUP(Timeform[[#This Row],[Vaardigheid]],Lijsten!C:C,Lijsten!A:A)</f>
        <v>0</v>
      </c>
    </row>
    <row r="842" spans="2:9" ht="15">
      <c r="B842" s="110"/>
      <c r="C842" s="114"/>
      <c r="D842" s="115"/>
      <c r="E842" s="115"/>
      <c r="F842" s="119"/>
      <c r="G842" s="124"/>
      <c r="H842" s="114"/>
      <c r="I842" s="95">
        <f>_xlfn.XLOOKUP(Timeform[[#This Row],[Vaardigheid]],Lijsten!C:C,Lijsten!A:A)</f>
        <v>0</v>
      </c>
    </row>
    <row r="843" spans="2:9" ht="15">
      <c r="B843" s="110"/>
      <c r="C843" s="114"/>
      <c r="D843" s="115"/>
      <c r="E843" s="115"/>
      <c r="F843" s="119"/>
      <c r="G843" s="124"/>
      <c r="H843" s="114"/>
      <c r="I843" s="95">
        <f>_xlfn.XLOOKUP(Timeform[[#This Row],[Vaardigheid]],Lijsten!C:C,Lijsten!A:A)</f>
        <v>0</v>
      </c>
    </row>
    <row r="844" spans="2:9" ht="15">
      <c r="B844" s="110"/>
      <c r="C844" s="114"/>
      <c r="D844" s="115"/>
      <c r="E844" s="115"/>
      <c r="F844" s="119"/>
      <c r="G844" s="124"/>
      <c r="H844" s="114"/>
      <c r="I844" s="95">
        <f>_xlfn.XLOOKUP(Timeform[[#This Row],[Vaardigheid]],Lijsten!C:C,Lijsten!A:A)</f>
        <v>0</v>
      </c>
    </row>
    <row r="845" spans="2:9" ht="15">
      <c r="B845" s="110"/>
      <c r="C845" s="114"/>
      <c r="D845" s="115"/>
      <c r="E845" s="115"/>
      <c r="F845" s="119"/>
      <c r="G845" s="124"/>
      <c r="H845" s="114"/>
      <c r="I845" s="95">
        <f>_xlfn.XLOOKUP(Timeform[[#This Row],[Vaardigheid]],Lijsten!C:C,Lijsten!A:A)</f>
        <v>0</v>
      </c>
    </row>
    <row r="846" spans="2:9" ht="15">
      <c r="B846" s="110"/>
      <c r="C846" s="114"/>
      <c r="D846" s="115"/>
      <c r="E846" s="115"/>
      <c r="F846" s="119"/>
      <c r="G846" s="124"/>
      <c r="H846" s="114"/>
      <c r="I846" s="95">
        <f>_xlfn.XLOOKUP(Timeform[[#This Row],[Vaardigheid]],Lijsten!C:C,Lijsten!A:A)</f>
        <v>0</v>
      </c>
    </row>
    <row r="847" spans="2:9" ht="15">
      <c r="B847" s="110"/>
      <c r="C847" s="114"/>
      <c r="D847" s="115"/>
      <c r="E847" s="115"/>
      <c r="F847" s="119"/>
      <c r="G847" s="124"/>
      <c r="H847" s="114"/>
      <c r="I847" s="95">
        <f>_xlfn.XLOOKUP(Timeform[[#This Row],[Vaardigheid]],Lijsten!C:C,Lijsten!A:A)</f>
        <v>0</v>
      </c>
    </row>
    <row r="848" spans="2:9" ht="15">
      <c r="B848" s="110"/>
      <c r="C848" s="114"/>
      <c r="D848" s="115"/>
      <c r="E848" s="115"/>
      <c r="F848" s="119"/>
      <c r="G848" s="124"/>
      <c r="H848" s="114"/>
      <c r="I848" s="95">
        <f>_xlfn.XLOOKUP(Timeform[[#This Row],[Vaardigheid]],Lijsten!C:C,Lijsten!A:A)</f>
        <v>0</v>
      </c>
    </row>
    <row r="849" spans="2:9" ht="15">
      <c r="B849" s="110"/>
      <c r="C849" s="114"/>
      <c r="D849" s="115"/>
      <c r="E849" s="115"/>
      <c r="F849" s="119"/>
      <c r="G849" s="124"/>
      <c r="H849" s="114"/>
      <c r="I849" s="95">
        <f>_xlfn.XLOOKUP(Timeform[[#This Row],[Vaardigheid]],Lijsten!C:C,Lijsten!A:A)</f>
        <v>0</v>
      </c>
    </row>
    <row r="850" spans="2:9" ht="15">
      <c r="B850" s="110"/>
      <c r="C850" s="114"/>
      <c r="D850" s="115"/>
      <c r="E850" s="115"/>
      <c r="F850" s="119"/>
      <c r="G850" s="124"/>
      <c r="H850" s="114"/>
      <c r="I850" s="95">
        <f>_xlfn.XLOOKUP(Timeform[[#This Row],[Vaardigheid]],Lijsten!C:C,Lijsten!A:A)</f>
        <v>0</v>
      </c>
    </row>
    <row r="851" spans="2:9" ht="15">
      <c r="B851" s="110"/>
      <c r="C851" s="114"/>
      <c r="D851" s="115"/>
      <c r="E851" s="115"/>
      <c r="F851" s="119"/>
      <c r="G851" s="124"/>
      <c r="H851" s="114"/>
      <c r="I851" s="95">
        <f>_xlfn.XLOOKUP(Timeform[[#This Row],[Vaardigheid]],Lijsten!C:C,Lijsten!A:A)</f>
        <v>0</v>
      </c>
    </row>
    <row r="852" spans="2:9" ht="15">
      <c r="B852" s="110"/>
      <c r="C852" s="114"/>
      <c r="D852" s="115"/>
      <c r="E852" s="115"/>
      <c r="F852" s="119"/>
      <c r="G852" s="124"/>
      <c r="H852" s="114"/>
      <c r="I852" s="95">
        <f>_xlfn.XLOOKUP(Timeform[[#This Row],[Vaardigheid]],Lijsten!C:C,Lijsten!A:A)</f>
        <v>0</v>
      </c>
    </row>
    <row r="853" spans="2:9" ht="15">
      <c r="C853" s="114"/>
      <c r="D853" s="115"/>
      <c r="E853" s="115"/>
      <c r="F853" s="119"/>
      <c r="G853" s="124"/>
      <c r="H853" s="114"/>
      <c r="I853" s="95">
        <f>_xlfn.XLOOKUP(Timeform[[#This Row],[Vaardigheid]],Lijsten!C:C,Lijsten!A:A)</f>
        <v>0</v>
      </c>
    </row>
    <row r="854" spans="2:9" ht="15">
      <c r="B854" s="110"/>
      <c r="C854" s="114"/>
      <c r="D854" s="115"/>
      <c r="E854" s="115"/>
      <c r="F854" s="119"/>
      <c r="G854" s="124"/>
      <c r="H854" s="114"/>
      <c r="I854" s="95">
        <f>_xlfn.XLOOKUP(Timeform[[#This Row],[Vaardigheid]],Lijsten!C:C,Lijsten!A:A)</f>
        <v>0</v>
      </c>
    </row>
    <row r="855" spans="2:9" ht="15">
      <c r="B855" s="103"/>
      <c r="C855" s="104"/>
      <c r="D855" s="105"/>
      <c r="E855" s="105"/>
      <c r="F855" s="106"/>
      <c r="G855" s="107"/>
      <c r="H855" s="104"/>
      <c r="I855" s="9">
        <f>_xlfn.XLOOKUP(Timeform[[#This Row],[Vaardigheid]],Lijsten!C:C,Lijsten!A:A)</f>
        <v>0</v>
      </c>
    </row>
    <row r="856" spans="2:9" ht="15">
      <c r="B856" s="110"/>
      <c r="C856" s="114"/>
      <c r="D856" s="115"/>
      <c r="E856" s="115"/>
      <c r="F856" s="119"/>
      <c r="G856" s="124"/>
      <c r="H856" s="114"/>
      <c r="I856" s="95">
        <f>_xlfn.XLOOKUP(Timeform[[#This Row],[Vaardigheid]],Lijsten!C:C,Lijsten!A:A)</f>
        <v>0</v>
      </c>
    </row>
    <row r="857" spans="2:9" ht="15">
      <c r="B857" s="110"/>
      <c r="C857" s="114"/>
      <c r="D857" s="6"/>
      <c r="E857" s="115"/>
      <c r="F857" s="119"/>
      <c r="G857" s="124"/>
      <c r="H857" s="114"/>
      <c r="I857" s="95">
        <f>_xlfn.XLOOKUP(Timeform[[#This Row],[Vaardigheid]],Lijsten!C:C,Lijsten!A:A)</f>
        <v>0</v>
      </c>
    </row>
    <row r="858" spans="2:9" ht="15">
      <c r="B858" s="110"/>
      <c r="C858" s="114"/>
      <c r="D858" s="115"/>
      <c r="E858" s="115"/>
      <c r="F858" s="119"/>
      <c r="G858" s="124"/>
      <c r="H858" s="114"/>
      <c r="I858" s="95">
        <f>_xlfn.XLOOKUP(Timeform[[#This Row],[Vaardigheid]],Lijsten!C:C,Lijsten!A:A)</f>
        <v>0</v>
      </c>
    </row>
    <row r="859" spans="2:9" ht="15">
      <c r="D859" s="6"/>
      <c r="E859" s="6"/>
      <c r="F859" s="46"/>
      <c r="G859" s="8"/>
      <c r="I859" s="9">
        <f>_xlfn.XLOOKUP(Timeform[[#This Row],[Vaardigheid]],Lijsten!C:C,Lijsten!A:A)</f>
        <v>0</v>
      </c>
    </row>
    <row r="860" spans="2:9" ht="15">
      <c r="B860" s="110"/>
      <c r="C860" s="114"/>
      <c r="D860" s="115"/>
      <c r="E860" s="115"/>
      <c r="F860" s="119"/>
      <c r="G860" s="124"/>
      <c r="H860" s="114"/>
      <c r="I860" s="95">
        <f>_xlfn.XLOOKUP(Timeform[[#This Row],[Vaardigheid]],Lijsten!C:C,Lijsten!A:A)</f>
        <v>0</v>
      </c>
    </row>
    <row r="861" spans="2:9" ht="15">
      <c r="D861" s="6"/>
      <c r="E861" s="6"/>
      <c r="F861" s="46"/>
      <c r="G861" s="8"/>
      <c r="I861" s="9">
        <f>_xlfn.XLOOKUP(Timeform[[#This Row],[Vaardigheid]],Lijsten!C:C,Lijsten!A:A)</f>
        <v>0</v>
      </c>
    </row>
    <row r="862" spans="2:9" ht="15">
      <c r="D862" s="6"/>
      <c r="E862" s="6"/>
      <c r="F862" s="46"/>
      <c r="G862" s="8"/>
      <c r="I862" s="9">
        <f>_xlfn.XLOOKUP(Timeform[[#This Row],[Vaardigheid]],Lijsten!C:C,Lijsten!A:A)</f>
        <v>0</v>
      </c>
    </row>
    <row r="863" spans="2:9" ht="15">
      <c r="B863" s="110"/>
      <c r="D863" s="6"/>
      <c r="E863" s="115"/>
      <c r="F863" s="119"/>
      <c r="G863" s="124"/>
      <c r="H863" s="114"/>
      <c r="I863" s="95">
        <f>_xlfn.XLOOKUP(Timeform[[#This Row],[Vaardigheid]],Lijsten!C:C,Lijsten!A:A)</f>
        <v>0</v>
      </c>
    </row>
    <row r="864" spans="2:9" ht="15">
      <c r="B864" s="110"/>
      <c r="C864" s="114"/>
      <c r="D864" s="115"/>
      <c r="E864" s="115"/>
      <c r="F864" s="119"/>
      <c r="G864" s="124"/>
      <c r="H864" s="114"/>
      <c r="I864" s="95">
        <f>_xlfn.XLOOKUP(Timeform[[#This Row],[Vaardigheid]],Lijsten!C:C,Lijsten!A:A)</f>
        <v>0</v>
      </c>
    </row>
    <row r="865" spans="2:9" ht="15">
      <c r="B865" s="71"/>
      <c r="C865" s="72"/>
      <c r="D865" s="73"/>
      <c r="E865" s="73"/>
      <c r="F865" s="74"/>
      <c r="G865" s="75"/>
      <c r="H865" s="72"/>
      <c r="I865" s="78"/>
    </row>
    <row r="866" spans="2:9" ht="15">
      <c r="B866" s="66"/>
      <c r="C866" s="67"/>
      <c r="D866" s="68"/>
      <c r="E866" s="68"/>
      <c r="F866" s="69"/>
      <c r="G866" s="70"/>
      <c r="H866" s="67"/>
      <c r="I866" s="78"/>
    </row>
    <row r="867" spans="2:9" ht="15">
      <c r="B867" s="71"/>
      <c r="C867" s="72"/>
      <c r="D867" s="73"/>
      <c r="E867" s="73"/>
      <c r="F867" s="74"/>
      <c r="G867" s="75"/>
      <c r="H867" s="72"/>
      <c r="I867" s="78"/>
    </row>
    <row r="868" spans="2:9" ht="15">
      <c r="B868" s="66"/>
      <c r="C868" s="67"/>
      <c r="D868" s="68"/>
      <c r="E868" s="68"/>
      <c r="F868" s="69"/>
      <c r="G868" s="70"/>
      <c r="H868" s="67"/>
      <c r="I868" s="78"/>
    </row>
    <row r="869" spans="2:9" ht="15">
      <c r="B869" s="71"/>
      <c r="C869" s="72"/>
      <c r="D869" s="73"/>
      <c r="E869" s="73"/>
      <c r="F869" s="74"/>
      <c r="G869" s="75"/>
      <c r="H869" s="72"/>
      <c r="I869" s="78"/>
    </row>
    <row r="870" spans="2:9" ht="15">
      <c r="B870" s="66"/>
      <c r="C870" s="67"/>
      <c r="D870" s="68"/>
      <c r="E870" s="68"/>
      <c r="F870" s="69"/>
      <c r="G870" s="70"/>
      <c r="H870" s="67"/>
      <c r="I870" s="78"/>
    </row>
    <row r="871" spans="2:9" ht="15">
      <c r="B871" s="71"/>
      <c r="C871" s="72"/>
      <c r="D871" s="73"/>
      <c r="E871" s="73"/>
      <c r="F871" s="74"/>
      <c r="G871" s="75"/>
      <c r="H871" s="72"/>
      <c r="I871" s="78"/>
    </row>
    <row r="872" spans="2:9" ht="15">
      <c r="B872" s="66"/>
      <c r="C872" s="67"/>
      <c r="D872" s="68"/>
      <c r="E872" s="68"/>
      <c r="F872" s="76"/>
      <c r="G872" s="70"/>
      <c r="H872" s="67"/>
      <c r="I872" s="78"/>
    </row>
    <row r="873" spans="2:9" ht="15">
      <c r="B873" s="71"/>
      <c r="C873" s="72"/>
      <c r="D873" s="73"/>
      <c r="E873" s="73"/>
      <c r="F873" s="74"/>
      <c r="G873" s="75"/>
      <c r="H873" s="72"/>
      <c r="I873" s="78"/>
    </row>
    <row r="874" spans="2:9" ht="15">
      <c r="B874" s="66"/>
      <c r="C874" s="67"/>
      <c r="D874" s="68"/>
      <c r="E874" s="68"/>
      <c r="F874" s="69"/>
      <c r="G874" s="70"/>
      <c r="H874" s="67"/>
      <c r="I874" s="78"/>
    </row>
    <row r="875" spans="2:9" ht="15">
      <c r="B875" s="71"/>
      <c r="C875" s="72"/>
      <c r="D875" s="73"/>
      <c r="E875" s="73"/>
      <c r="F875" s="74"/>
      <c r="G875" s="75"/>
      <c r="H875" s="72"/>
      <c r="I875" s="78"/>
    </row>
    <row r="876" spans="2:9" ht="15">
      <c r="B876" s="66"/>
      <c r="C876" s="67"/>
      <c r="D876" s="68"/>
      <c r="E876" s="68"/>
      <c r="F876" s="69"/>
      <c r="G876" s="70"/>
      <c r="H876" s="67"/>
      <c r="I876" s="78"/>
    </row>
    <row r="877" spans="2:9" ht="15">
      <c r="B877" s="71"/>
      <c r="C877" s="72"/>
      <c r="D877" s="73"/>
      <c r="E877" s="73"/>
      <c r="F877" s="74"/>
      <c r="G877" s="75"/>
      <c r="H877" s="72"/>
      <c r="I877" s="78"/>
    </row>
    <row r="878" spans="2:9" ht="15">
      <c r="B878" s="66"/>
      <c r="C878" s="67"/>
      <c r="D878" s="68"/>
      <c r="E878" s="68"/>
      <c r="F878" s="69"/>
      <c r="G878" s="70"/>
      <c r="H878" s="67"/>
      <c r="I878" s="78"/>
    </row>
    <row r="879" spans="2:9" ht="15">
      <c r="B879" s="71"/>
      <c r="C879" s="72"/>
      <c r="D879" s="73"/>
      <c r="E879" s="73"/>
      <c r="F879" s="77"/>
      <c r="G879" s="75"/>
      <c r="H879" s="72"/>
      <c r="I879" s="78"/>
    </row>
    <row r="880" spans="2:9" ht="15">
      <c r="B880" s="66"/>
      <c r="C880" s="67"/>
      <c r="D880" s="68"/>
      <c r="E880" s="68"/>
      <c r="F880" s="69"/>
      <c r="G880" s="70"/>
      <c r="H880" s="67"/>
      <c r="I880" s="78"/>
    </row>
    <row r="881" spans="2:9" ht="15">
      <c r="B881" s="71"/>
      <c r="C881" s="72"/>
      <c r="D881" s="73"/>
      <c r="E881" s="73"/>
      <c r="F881" s="74"/>
      <c r="G881" s="75"/>
      <c r="H881" s="72"/>
      <c r="I881" s="78"/>
    </row>
    <row r="882" spans="2:9" ht="15">
      <c r="B882" s="66"/>
      <c r="C882" s="67"/>
      <c r="D882" s="68"/>
      <c r="E882" s="68"/>
      <c r="F882" s="69"/>
      <c r="G882" s="70"/>
      <c r="H882" s="67"/>
      <c r="I882" s="78"/>
    </row>
    <row r="883" spans="2:9" ht="15">
      <c r="B883" s="71"/>
      <c r="C883" s="72"/>
      <c r="D883" s="73"/>
      <c r="E883" s="73"/>
      <c r="F883" s="74"/>
      <c r="G883" s="75"/>
      <c r="H883" s="72"/>
      <c r="I883" s="78"/>
    </row>
    <row r="884" spans="2:9" ht="15">
      <c r="B884" s="66"/>
      <c r="C884" s="67"/>
      <c r="D884" s="68"/>
      <c r="E884" s="68"/>
      <c r="F884" s="69"/>
      <c r="G884" s="70"/>
      <c r="H884" s="67"/>
      <c r="I884" s="78"/>
    </row>
    <row r="885" spans="2:9" ht="15">
      <c r="B885" s="71"/>
      <c r="C885" s="72"/>
      <c r="D885" s="73"/>
      <c r="E885" s="73"/>
      <c r="F885" s="77"/>
      <c r="G885" s="75"/>
      <c r="H885" s="72"/>
      <c r="I885" s="78"/>
    </row>
    <row r="886" spans="2:9" ht="15">
      <c r="B886" s="66"/>
      <c r="C886" s="67"/>
      <c r="D886" s="68"/>
      <c r="E886" s="68"/>
      <c r="F886" s="69"/>
      <c r="G886" s="70"/>
      <c r="H886" s="67"/>
      <c r="I886" s="78"/>
    </row>
    <row r="887" spans="2:9" ht="15">
      <c r="B887" s="71"/>
      <c r="C887" s="72"/>
      <c r="D887" s="73"/>
      <c r="E887" s="73"/>
      <c r="F887" s="74"/>
      <c r="G887" s="75"/>
      <c r="H887" s="72"/>
      <c r="I887" s="78"/>
    </row>
    <row r="888" spans="2:9" ht="15">
      <c r="B888" s="66"/>
      <c r="C888" s="67"/>
      <c r="D888" s="68"/>
      <c r="E888" s="68"/>
      <c r="F888" s="76"/>
      <c r="G888" s="70"/>
      <c r="H888" s="67"/>
      <c r="I888" s="78"/>
    </row>
    <row r="889" spans="2:9" ht="15">
      <c r="B889" s="71"/>
      <c r="C889" s="72"/>
      <c r="D889" s="73"/>
      <c r="E889" s="73"/>
      <c r="F889" s="74"/>
      <c r="G889" s="75"/>
      <c r="H889" s="72"/>
      <c r="I889" s="78"/>
    </row>
    <row r="890" spans="2:9" ht="15">
      <c r="B890" s="66"/>
      <c r="C890" s="67"/>
      <c r="D890" s="68"/>
      <c r="E890" s="68"/>
      <c r="F890" s="76"/>
      <c r="G890" s="70"/>
      <c r="H890" s="67"/>
      <c r="I890" s="78"/>
    </row>
    <row r="891" spans="2:9" ht="15">
      <c r="B891" s="71"/>
      <c r="C891" s="72"/>
      <c r="D891" s="73"/>
      <c r="E891" s="73"/>
      <c r="F891" s="74"/>
      <c r="G891" s="75"/>
      <c r="H891" s="72"/>
      <c r="I891" s="78"/>
    </row>
    <row r="892" spans="2:9" ht="15">
      <c r="B892" s="66"/>
      <c r="C892" s="67"/>
      <c r="D892" s="68"/>
      <c r="E892" s="68"/>
      <c r="F892" s="69"/>
      <c r="G892" s="70"/>
      <c r="H892" s="67"/>
      <c r="I892" s="78"/>
    </row>
    <row r="893" spans="2:9" ht="15">
      <c r="B893" s="71"/>
      <c r="C893" s="72"/>
      <c r="D893" s="73"/>
      <c r="E893" s="73"/>
      <c r="F893" s="74"/>
      <c r="G893" s="75"/>
      <c r="H893" s="72"/>
      <c r="I893" s="78"/>
    </row>
    <row r="894" spans="2:9" ht="15">
      <c r="B894" s="66"/>
      <c r="C894" s="67"/>
      <c r="D894" s="68"/>
      <c r="E894" s="68"/>
      <c r="F894" s="69"/>
      <c r="G894" s="70"/>
      <c r="H894" s="67"/>
      <c r="I894" s="78"/>
    </row>
    <row r="895" spans="2:9" ht="15">
      <c r="B895" s="71"/>
      <c r="C895" s="72"/>
      <c r="D895" s="73"/>
      <c r="E895" s="73"/>
      <c r="F895" s="74"/>
      <c r="G895" s="75"/>
      <c r="H895" s="72"/>
      <c r="I895" s="78"/>
    </row>
    <row r="896" spans="2:9" ht="15">
      <c r="B896" s="66"/>
      <c r="C896" s="67"/>
      <c r="D896" s="68"/>
      <c r="E896" s="68"/>
      <c r="F896" s="76"/>
      <c r="G896" s="70"/>
      <c r="H896" s="67"/>
      <c r="I896" s="78"/>
    </row>
    <row r="897" spans="4:9" ht="15">
      <c r="D897" s="6"/>
      <c r="E897" s="6"/>
      <c r="F897" s="7"/>
      <c r="G897" s="8"/>
      <c r="I897" s="9"/>
    </row>
    <row r="898" spans="4:9" ht="15">
      <c r="D898" s="6"/>
      <c r="E898" s="6"/>
      <c r="F898" s="7"/>
      <c r="G898" s="8"/>
      <c r="I898" s="9"/>
    </row>
    <row r="899" spans="4:9" ht="15">
      <c r="D899" s="6"/>
      <c r="E899" s="6"/>
      <c r="F899" s="7"/>
      <c r="G899" s="8"/>
      <c r="I899" s="9"/>
    </row>
    <row r="900" spans="4:9" ht="15">
      <c r="D900" s="6"/>
      <c r="E900" s="6"/>
      <c r="F900" s="45"/>
      <c r="G900" s="8"/>
      <c r="I900" s="9"/>
    </row>
    <row r="901" spans="4:9" ht="15">
      <c r="D901" s="6"/>
      <c r="E901" s="6"/>
      <c r="F901" s="7"/>
      <c r="G901" s="8"/>
      <c r="I901" s="9"/>
    </row>
    <row r="902" spans="4:9" ht="15">
      <c r="D902" s="6"/>
      <c r="E902" s="6"/>
      <c r="F902" s="7"/>
      <c r="G902" s="8"/>
      <c r="I902" s="9"/>
    </row>
    <row r="903" spans="4:9" ht="15">
      <c r="D903" s="6"/>
      <c r="E903" s="6"/>
      <c r="F903" s="7"/>
      <c r="G903" s="8"/>
      <c r="I903" s="9"/>
    </row>
    <row r="904" spans="4:9" ht="15">
      <c r="D904" s="6"/>
      <c r="E904" s="6"/>
      <c r="F904" s="7"/>
      <c r="G904" s="8"/>
      <c r="I904" s="9"/>
    </row>
    <row r="905" spans="4:9" ht="15">
      <c r="D905" s="6"/>
      <c r="E905" s="6"/>
      <c r="F905" s="7"/>
      <c r="G905" s="8"/>
      <c r="I905" s="9"/>
    </row>
    <row r="906" spans="4:9" ht="15">
      <c r="D906" s="6"/>
      <c r="E906" s="6"/>
      <c r="F906" s="7"/>
      <c r="G906" s="8"/>
      <c r="I906" s="9"/>
    </row>
    <row r="907" spans="4:9" ht="15">
      <c r="D907" s="6"/>
      <c r="E907" s="6"/>
      <c r="F907" s="7"/>
      <c r="G907" s="8"/>
      <c r="I907" s="9"/>
    </row>
    <row r="908" spans="4:9" ht="15">
      <c r="D908" s="6"/>
      <c r="E908" s="6"/>
      <c r="F908" s="7"/>
      <c r="G908" s="8"/>
      <c r="I908" s="9"/>
    </row>
    <row r="909" spans="4:9" ht="15">
      <c r="D909" s="6"/>
      <c r="E909" s="6"/>
      <c r="F909" s="7"/>
      <c r="G909" s="8"/>
      <c r="I909" s="9"/>
    </row>
    <row r="910" spans="4:9" ht="15">
      <c r="D910" s="6"/>
      <c r="E910" s="6"/>
      <c r="F910" s="7"/>
      <c r="G910" s="8"/>
      <c r="I910" s="9"/>
    </row>
    <row r="911" spans="4:9" ht="15">
      <c r="D911" s="6"/>
      <c r="E911" s="6"/>
      <c r="F911" s="7"/>
      <c r="G911" s="8"/>
      <c r="I911" s="9"/>
    </row>
    <row r="912" spans="4:9" ht="15">
      <c r="D912" s="6"/>
      <c r="E912" s="6"/>
      <c r="F912" s="7"/>
      <c r="G912" s="8"/>
      <c r="I912" s="9"/>
    </row>
    <row r="913" spans="4:9" ht="15">
      <c r="D913" s="17"/>
      <c r="E913" s="6"/>
      <c r="F913" s="7"/>
      <c r="G913" s="8"/>
      <c r="I913" s="9"/>
    </row>
    <row r="914" spans="4:9" ht="15">
      <c r="D914" s="6"/>
      <c r="E914" s="6"/>
      <c r="F914" s="7"/>
      <c r="G914" s="8"/>
      <c r="I914" s="9"/>
    </row>
    <row r="915" spans="4:9" ht="15">
      <c r="D915" s="6"/>
      <c r="E915" s="6"/>
      <c r="F915" s="7"/>
      <c r="G915" s="8"/>
      <c r="I915" s="9"/>
    </row>
    <row r="916" spans="4:9" ht="15">
      <c r="D916" s="6"/>
      <c r="E916" s="6"/>
      <c r="F916" s="7"/>
      <c r="G916" s="8"/>
      <c r="I916" s="9"/>
    </row>
    <row r="917" spans="4:9" ht="15">
      <c r="D917" s="6"/>
      <c r="E917" s="6"/>
      <c r="F917" s="7"/>
      <c r="G917" s="8"/>
      <c r="I917" s="9"/>
    </row>
    <row r="918" spans="4:9" ht="15">
      <c r="D918" s="6"/>
      <c r="E918" s="6"/>
      <c r="F918" s="7"/>
      <c r="G918" s="8"/>
      <c r="I918" s="9"/>
    </row>
    <row r="919" spans="4:9" ht="15">
      <c r="D919" s="6"/>
      <c r="E919" s="6"/>
      <c r="F919" s="7"/>
      <c r="G919" s="8"/>
      <c r="I919" s="9"/>
    </row>
    <row r="920" spans="4:9" ht="15">
      <c r="D920" s="6"/>
      <c r="E920" s="6"/>
      <c r="F920" s="7"/>
      <c r="G920" s="8"/>
      <c r="I920" s="9"/>
    </row>
    <row r="921" spans="4:9" ht="15">
      <c r="D921" s="6"/>
      <c r="E921" s="6"/>
      <c r="F921" s="7"/>
      <c r="G921" s="8"/>
      <c r="I921" s="9"/>
    </row>
    <row r="922" spans="4:9" ht="15">
      <c r="D922" s="6"/>
      <c r="E922" s="6"/>
      <c r="F922" s="7"/>
      <c r="G922" s="8"/>
      <c r="I922" s="9"/>
    </row>
    <row r="923" spans="4:9" ht="15">
      <c r="D923" s="6"/>
      <c r="E923" s="6"/>
      <c r="F923" s="7"/>
      <c r="G923" s="8"/>
      <c r="I923" s="9"/>
    </row>
    <row r="924" spans="4:9" ht="15">
      <c r="D924" s="6"/>
      <c r="E924" s="6"/>
      <c r="F924" s="7"/>
      <c r="G924" s="8"/>
      <c r="I924" s="9"/>
    </row>
    <row r="925" spans="4:9" ht="15">
      <c r="D925" s="6"/>
      <c r="E925" s="6"/>
      <c r="F925" s="7"/>
      <c r="G925" s="8"/>
      <c r="I925" s="9"/>
    </row>
    <row r="926" spans="4:9" ht="15">
      <c r="D926" s="6"/>
      <c r="E926" s="6"/>
      <c r="F926" s="7"/>
      <c r="G926" s="8"/>
      <c r="I926" s="9"/>
    </row>
    <row r="927" spans="4:9" ht="15">
      <c r="D927" s="6"/>
      <c r="E927" s="6"/>
      <c r="F927" s="7"/>
      <c r="G927" s="8"/>
      <c r="I927" s="9"/>
    </row>
    <row r="928" spans="4:9" ht="15">
      <c r="D928" s="6"/>
      <c r="E928" s="6"/>
      <c r="F928" s="7"/>
      <c r="G928" s="8"/>
      <c r="I928" s="9"/>
    </row>
    <row r="929" spans="4:9" ht="15">
      <c r="D929" s="6"/>
      <c r="E929" s="6"/>
      <c r="F929" s="7"/>
      <c r="G929" s="8"/>
      <c r="I929" s="9"/>
    </row>
    <row r="930" spans="4:9" ht="15">
      <c r="D930" s="6"/>
      <c r="E930" s="6"/>
      <c r="F930" s="7"/>
      <c r="G930" s="8"/>
      <c r="I930" s="9"/>
    </row>
    <row r="931" spans="4:9" ht="15">
      <c r="D931" s="6"/>
      <c r="E931" s="6"/>
      <c r="F931" s="7"/>
      <c r="G931" s="8"/>
      <c r="I931" s="9"/>
    </row>
    <row r="932" spans="4:9" ht="15">
      <c r="D932" s="6"/>
      <c r="E932" s="6"/>
      <c r="F932" s="7"/>
      <c r="G932" s="8"/>
      <c r="I932" s="9"/>
    </row>
    <row r="933" spans="4:9" ht="15">
      <c r="D933" s="6"/>
      <c r="E933" s="6"/>
      <c r="F933" s="46"/>
      <c r="G933" s="8"/>
      <c r="I933" s="9"/>
    </row>
    <row r="934" spans="4:9" ht="15">
      <c r="D934" s="6"/>
      <c r="E934" s="6"/>
      <c r="F934" s="7"/>
      <c r="G934" s="8"/>
      <c r="I934" s="9"/>
    </row>
    <row r="935" spans="4:9" ht="15">
      <c r="D935" s="6"/>
      <c r="E935" s="6"/>
      <c r="F935" s="7"/>
      <c r="G935" s="8"/>
      <c r="I935" s="9"/>
    </row>
    <row r="936" spans="4:9" ht="15">
      <c r="D936" s="6"/>
      <c r="E936" s="6"/>
      <c r="F936" s="7"/>
      <c r="G936" s="8"/>
      <c r="I936" s="9"/>
    </row>
    <row r="937" spans="4:9" ht="15">
      <c r="D937" s="6"/>
      <c r="E937" s="6"/>
      <c r="F937" s="47"/>
      <c r="G937" s="8"/>
      <c r="I937" s="9"/>
    </row>
    <row r="938" spans="4:9" ht="15">
      <c r="D938" s="6"/>
      <c r="E938" s="6"/>
      <c r="F938" s="7"/>
      <c r="G938" s="8"/>
      <c r="I938" s="9"/>
    </row>
    <row r="939" spans="4:9" ht="15">
      <c r="D939" s="6"/>
      <c r="E939" s="6"/>
      <c r="F939" s="7"/>
      <c r="G939" s="8"/>
      <c r="I939" s="9"/>
    </row>
    <row r="940" spans="4:9" ht="15">
      <c r="D940" s="6"/>
      <c r="E940" s="6"/>
      <c r="F940" s="7"/>
      <c r="G940" s="8"/>
      <c r="I940" s="9"/>
    </row>
    <row r="941" spans="4:9" ht="15">
      <c r="D941" s="6"/>
      <c r="E941" s="6"/>
      <c r="F941" s="47"/>
      <c r="G941" s="8"/>
      <c r="I941" s="9"/>
    </row>
    <row r="942" spans="4:9" ht="15">
      <c r="D942" s="6"/>
      <c r="E942" s="6"/>
      <c r="F942" s="47"/>
      <c r="G942" s="8"/>
      <c r="I942" s="9"/>
    </row>
    <row r="943" spans="4:9" ht="15">
      <c r="D943" s="6"/>
      <c r="E943" s="6"/>
      <c r="F943" s="7"/>
      <c r="G943" s="8"/>
      <c r="I943" s="9"/>
    </row>
    <row r="944" spans="4:9" ht="15">
      <c r="D944" s="6"/>
      <c r="E944" s="6"/>
      <c r="F944" s="7"/>
      <c r="G944" s="8"/>
      <c r="I944" s="9"/>
    </row>
    <row r="945" spans="2:9" ht="15">
      <c r="D945" s="6"/>
      <c r="E945" s="6"/>
      <c r="F945" s="7"/>
      <c r="G945" s="8"/>
      <c r="I945" s="9"/>
    </row>
    <row r="946" spans="2:9" ht="15">
      <c r="D946" s="6"/>
      <c r="E946" s="6"/>
      <c r="F946" s="7"/>
      <c r="G946" s="8"/>
      <c r="I946" s="9"/>
    </row>
    <row r="947" spans="2:9" ht="15">
      <c r="D947" s="6"/>
      <c r="E947" s="6"/>
      <c r="F947" s="7"/>
      <c r="G947" s="8"/>
      <c r="I947" s="9"/>
    </row>
    <row r="948" spans="2:9" ht="15">
      <c r="D948" s="6"/>
      <c r="E948" s="6"/>
      <c r="F948" s="7"/>
      <c r="G948" s="8"/>
      <c r="I948" s="9"/>
    </row>
    <row r="949" spans="2:9" ht="15">
      <c r="D949" s="6"/>
      <c r="E949" s="6"/>
      <c r="F949" s="7"/>
      <c r="G949" s="8"/>
      <c r="I949" s="9"/>
    </row>
    <row r="950" spans="2:9" ht="15">
      <c r="B950" s="50"/>
      <c r="C950" s="52"/>
      <c r="D950" s="54"/>
      <c r="E950" s="54"/>
      <c r="F950" s="7"/>
      <c r="G950" s="57"/>
      <c r="I950" s="9"/>
    </row>
    <row r="951" spans="2:9" ht="15">
      <c r="B951" s="50"/>
      <c r="C951" s="52"/>
      <c r="D951" s="54"/>
      <c r="E951" s="54"/>
      <c r="F951" s="7"/>
      <c r="G951" s="8"/>
      <c r="H951" s="52"/>
      <c r="I951" s="9"/>
    </row>
    <row r="952" spans="2:9" ht="15">
      <c r="D952" s="6"/>
      <c r="E952" s="6"/>
      <c r="F952" s="7"/>
      <c r="G952" s="8"/>
      <c r="I952" s="9"/>
    </row>
    <row r="953" spans="2:9" ht="15">
      <c r="D953" s="6"/>
      <c r="E953" s="6"/>
      <c r="F953" s="7"/>
      <c r="G953" s="8"/>
      <c r="I953" s="9"/>
    </row>
    <row r="954" spans="2:9" ht="15">
      <c r="D954" s="6"/>
      <c r="E954" s="6"/>
      <c r="F954" s="7"/>
      <c r="G954" s="8"/>
      <c r="I954" s="9"/>
    </row>
    <row r="955" spans="2:9" ht="15">
      <c r="D955" s="6"/>
      <c r="E955" s="6"/>
      <c r="F955" s="7"/>
      <c r="G955" s="8"/>
      <c r="I955" s="9"/>
    </row>
    <row r="956" spans="2:9" ht="15">
      <c r="D956" s="6"/>
      <c r="E956" s="6"/>
      <c r="F956" s="7"/>
      <c r="G956" s="8"/>
      <c r="I956" s="9"/>
    </row>
    <row r="957" spans="2:9" ht="15">
      <c r="D957" s="6"/>
      <c r="E957" s="6"/>
      <c r="F957" s="7"/>
      <c r="G957" s="8"/>
      <c r="I957" s="9"/>
    </row>
    <row r="958" spans="2:9" ht="15">
      <c r="D958" s="6"/>
      <c r="E958" s="6"/>
      <c r="F958" s="7"/>
      <c r="G958" s="8"/>
      <c r="I958" s="9"/>
    </row>
    <row r="959" spans="2:9" ht="15">
      <c r="D959" s="6"/>
      <c r="E959" s="6"/>
      <c r="F959" s="47"/>
      <c r="G959" s="8"/>
      <c r="I959" s="9"/>
    </row>
    <row r="960" spans="2:9" ht="15">
      <c r="D960" s="6"/>
      <c r="E960" s="6"/>
      <c r="F960" s="7"/>
      <c r="G960" s="8"/>
      <c r="I960" s="9"/>
    </row>
    <row r="961" spans="4:9" ht="15">
      <c r="D961" s="6"/>
      <c r="E961" s="6"/>
      <c r="F961" s="7"/>
      <c r="G961" s="8"/>
      <c r="I961" s="9"/>
    </row>
    <row r="962" spans="4:9" ht="15">
      <c r="D962" s="6"/>
      <c r="E962" s="6"/>
      <c r="F962" s="7"/>
      <c r="G962" s="8"/>
      <c r="I962" s="9"/>
    </row>
    <row r="963" spans="4:9" ht="15">
      <c r="D963" s="6"/>
      <c r="E963" s="6"/>
      <c r="F963" s="7"/>
      <c r="G963" s="8"/>
      <c r="I963" s="9"/>
    </row>
    <row r="964" spans="4:9" ht="15">
      <c r="D964" s="6"/>
      <c r="E964" s="6"/>
      <c r="F964" s="7"/>
      <c r="G964" s="8"/>
      <c r="I964" s="9"/>
    </row>
    <row r="965" spans="4:9" ht="15">
      <c r="D965" s="6"/>
      <c r="E965" s="6"/>
      <c r="F965" s="7"/>
      <c r="G965" s="8"/>
      <c r="I965" s="9"/>
    </row>
    <row r="966" spans="4:9" ht="15">
      <c r="D966" s="6"/>
      <c r="E966" s="6"/>
      <c r="F966" s="47"/>
      <c r="G966" s="8"/>
      <c r="I966" s="9"/>
    </row>
    <row r="967" spans="4:9" ht="15">
      <c r="D967" s="6"/>
      <c r="E967" s="6"/>
      <c r="F967" s="7"/>
      <c r="G967" s="8"/>
      <c r="I967" s="9"/>
    </row>
    <row r="968" spans="4:9" ht="15">
      <c r="D968" s="6"/>
      <c r="E968" s="6"/>
      <c r="F968" s="7"/>
      <c r="G968" s="8"/>
      <c r="I968" s="9"/>
    </row>
    <row r="969" spans="4:9" ht="15">
      <c r="D969" s="6"/>
      <c r="E969" s="6"/>
      <c r="F969" s="7"/>
      <c r="G969" s="8"/>
      <c r="I969" s="9"/>
    </row>
    <row r="970" spans="4:9" ht="15">
      <c r="D970" s="6"/>
      <c r="E970" s="6"/>
      <c r="F970" s="7"/>
      <c r="G970" s="8"/>
      <c r="I970" s="9"/>
    </row>
    <row r="971" spans="4:9" ht="15">
      <c r="D971" s="6"/>
      <c r="E971" s="6"/>
      <c r="F971" s="7"/>
      <c r="G971" s="8"/>
      <c r="I971" s="9"/>
    </row>
    <row r="972" spans="4:9" ht="15">
      <c r="D972" s="6"/>
      <c r="E972" s="6"/>
      <c r="F972" s="47"/>
      <c r="G972" s="8"/>
      <c r="I972" s="9"/>
    </row>
    <row r="973" spans="4:9" ht="15">
      <c r="D973" s="6"/>
      <c r="E973" s="6"/>
      <c r="F973" s="7"/>
      <c r="G973" s="8"/>
      <c r="I973" s="9"/>
    </row>
    <row r="974" spans="4:9" ht="15">
      <c r="D974" s="6"/>
      <c r="E974" s="6"/>
      <c r="F974" s="7"/>
      <c r="G974" s="8"/>
      <c r="I974" s="9"/>
    </row>
    <row r="975" spans="4:9" ht="15">
      <c r="D975" s="6"/>
      <c r="E975" s="6"/>
      <c r="F975" s="47"/>
      <c r="G975" s="8"/>
      <c r="I975" s="9"/>
    </row>
    <row r="976" spans="4:9" ht="15">
      <c r="D976" s="6"/>
      <c r="E976" s="6"/>
      <c r="F976" s="7"/>
      <c r="G976" s="8"/>
      <c r="I976" s="9"/>
    </row>
    <row r="977" spans="2:9" ht="15">
      <c r="D977" s="6"/>
      <c r="E977" s="6"/>
      <c r="F977" s="47"/>
      <c r="G977" s="8"/>
      <c r="I977" s="9"/>
    </row>
    <row r="978" spans="2:9" ht="15">
      <c r="D978" s="6"/>
      <c r="E978" s="6"/>
      <c r="F978" s="7"/>
      <c r="G978" s="8"/>
      <c r="I978" s="9"/>
    </row>
    <row r="979" spans="2:9" ht="15">
      <c r="D979" s="6"/>
      <c r="E979" s="6"/>
      <c r="F979" s="7"/>
      <c r="G979" s="8"/>
      <c r="I979" s="9"/>
    </row>
    <row r="980" spans="2:9" ht="15">
      <c r="D980" s="6"/>
      <c r="E980" s="6"/>
      <c r="F980" s="7"/>
      <c r="G980" s="8"/>
      <c r="I980" s="9"/>
    </row>
    <row r="981" spans="2:9" ht="15">
      <c r="D981" s="6"/>
      <c r="E981" s="6"/>
      <c r="F981" s="7"/>
      <c r="G981" s="8"/>
      <c r="I981" s="9"/>
    </row>
    <row r="982" spans="2:9" ht="15">
      <c r="D982" s="6"/>
      <c r="E982" s="6"/>
      <c r="F982" s="7"/>
      <c r="G982" s="8"/>
      <c r="I982" s="9"/>
    </row>
    <row r="983" spans="2:9" ht="15">
      <c r="D983" s="6"/>
      <c r="E983" s="6"/>
      <c r="F983" s="47"/>
      <c r="G983" s="8"/>
      <c r="I983" s="9"/>
    </row>
    <row r="984" spans="2:9" ht="15">
      <c r="D984" s="6"/>
      <c r="E984" s="6"/>
      <c r="F984" s="47"/>
      <c r="G984" s="8"/>
      <c r="I984" s="9"/>
    </row>
    <row r="985" spans="2:9" ht="15">
      <c r="D985" s="6"/>
      <c r="E985" s="6"/>
      <c r="F985" s="47"/>
      <c r="G985" s="8"/>
      <c r="I985" s="9"/>
    </row>
    <row r="986" spans="2:9" ht="15">
      <c r="D986" s="6"/>
      <c r="E986" s="6"/>
      <c r="F986" s="47"/>
      <c r="G986" s="8"/>
      <c r="I986" s="9"/>
    </row>
    <row r="987" spans="2:9" ht="15">
      <c r="D987" s="6"/>
      <c r="E987" s="6"/>
      <c r="F987" s="47"/>
      <c r="G987" s="8"/>
      <c r="I987" s="9"/>
    </row>
    <row r="988" spans="2:9" ht="15">
      <c r="B988" s="51"/>
      <c r="C988" s="51"/>
      <c r="D988" s="55"/>
      <c r="E988" s="55"/>
      <c r="F988" s="47"/>
      <c r="G988" s="56"/>
      <c r="I988" s="9"/>
    </row>
    <row r="989" spans="2:9" ht="15">
      <c r="B989" s="49"/>
      <c r="C989" s="49"/>
      <c r="D989" s="53"/>
      <c r="E989" s="53"/>
      <c r="F989" s="47"/>
      <c r="G989" s="8"/>
      <c r="H989" s="51"/>
      <c r="I989" s="9"/>
    </row>
    <row r="990" spans="2:9" ht="15">
      <c r="D990" s="6"/>
      <c r="E990" s="6"/>
      <c r="F990" s="7"/>
      <c r="G990" s="8"/>
      <c r="I990" s="9"/>
    </row>
    <row r="991" spans="2:9" ht="15">
      <c r="D991" s="6"/>
      <c r="E991" s="6"/>
      <c r="F991" s="7"/>
      <c r="G991" s="8"/>
      <c r="I991" s="9"/>
    </row>
    <row r="992" spans="2:9" ht="15">
      <c r="D992" s="6"/>
      <c r="E992" s="6"/>
      <c r="F992" s="7"/>
      <c r="G992" s="8"/>
      <c r="I992" s="9"/>
    </row>
    <row r="993" spans="2:9" ht="15">
      <c r="D993" s="6"/>
      <c r="E993" s="6"/>
      <c r="F993" s="7"/>
      <c r="G993" s="8"/>
      <c r="I993" s="9"/>
    </row>
    <row r="994" spans="2:9" ht="15">
      <c r="D994" s="6"/>
      <c r="E994" s="6"/>
      <c r="F994" s="7"/>
      <c r="G994" s="8"/>
      <c r="I994" s="9"/>
    </row>
    <row r="995" spans="2:9" ht="15">
      <c r="D995" s="6"/>
      <c r="E995" s="6"/>
      <c r="F995" s="7"/>
      <c r="G995" s="8"/>
      <c r="I995" s="9"/>
    </row>
    <row r="996" spans="2:9" ht="15">
      <c r="D996" s="17"/>
      <c r="E996" s="6"/>
      <c r="F996" s="7"/>
      <c r="G996" s="8"/>
      <c r="I996" s="9"/>
    </row>
    <row r="997" spans="2:9" ht="15">
      <c r="D997" s="6"/>
      <c r="E997" s="6"/>
      <c r="F997" s="47"/>
      <c r="G997" s="8"/>
      <c r="I997" s="9"/>
    </row>
    <row r="998" spans="2:9" ht="15">
      <c r="D998" s="6"/>
      <c r="E998" s="6"/>
      <c r="F998" s="7"/>
      <c r="G998" s="8"/>
      <c r="I998" s="9"/>
    </row>
    <row r="999" spans="2:9" ht="15">
      <c r="B999" s="39"/>
      <c r="C999" s="39"/>
      <c r="D999" s="43"/>
      <c r="E999" s="43"/>
      <c r="F999" s="62"/>
      <c r="G999" s="39"/>
      <c r="H999" s="39"/>
      <c r="I999" s="9"/>
    </row>
    <row r="1000" spans="2:9" ht="15">
      <c r="D1000" s="6"/>
      <c r="E1000" s="6"/>
      <c r="F1000" s="47"/>
      <c r="G1000" s="8"/>
      <c r="I1000" s="9"/>
    </row>
    <row r="1001" spans="2:9" ht="15">
      <c r="D1001" s="6"/>
      <c r="E1001" s="6"/>
      <c r="F1001" s="47"/>
      <c r="G1001" s="8"/>
      <c r="I1001" s="9"/>
    </row>
    <row r="1002" spans="2:9" ht="15">
      <c r="D1002" s="6"/>
      <c r="E1002" s="6"/>
      <c r="F1002" s="7"/>
      <c r="G1002" s="8"/>
      <c r="I1002" s="9"/>
    </row>
    <row r="1003" spans="2:9" ht="15">
      <c r="B1003" s="39"/>
      <c r="C1003" s="39"/>
      <c r="D1003" s="43"/>
      <c r="E1003" s="43"/>
      <c r="F1003" s="62"/>
      <c r="G1003" s="39"/>
      <c r="H1003" s="39"/>
      <c r="I1003" s="9"/>
    </row>
    <row r="1004" spans="2:9" ht="15">
      <c r="D1004" s="6"/>
      <c r="E1004" s="6"/>
      <c r="F1004" s="47"/>
      <c r="G1004" s="8"/>
      <c r="I1004" s="9"/>
    </row>
    <row r="1005" spans="2:9" ht="15">
      <c r="D1005" s="6"/>
      <c r="E1005" s="6"/>
      <c r="F1005" s="47"/>
      <c r="G1005" s="8"/>
      <c r="I1005" s="9"/>
    </row>
    <row r="1006" spans="2:9" ht="15">
      <c r="D1006" s="6"/>
      <c r="E1006" s="6"/>
      <c r="F1006" s="47"/>
      <c r="G1006" s="8"/>
      <c r="I1006" s="9"/>
    </row>
    <row r="1007" spans="2:9" ht="15">
      <c r="D1007" s="6"/>
      <c r="E1007" s="6"/>
      <c r="F1007" s="7"/>
      <c r="G1007" s="8"/>
      <c r="I1007" s="9"/>
    </row>
    <row r="1008" spans="2:9" ht="15">
      <c r="B1008" s="60"/>
      <c r="C1008" s="60"/>
      <c r="D1008" s="61"/>
      <c r="E1008" s="61"/>
      <c r="F1008" s="47"/>
      <c r="G1008" s="60"/>
      <c r="H1008" s="60"/>
      <c r="I1008" s="9"/>
    </row>
    <row r="1009" spans="2:9" ht="15">
      <c r="D1009" s="6"/>
      <c r="E1009" s="6"/>
      <c r="F1009" s="7"/>
      <c r="G1009" s="8"/>
      <c r="I1009" s="9"/>
    </row>
    <row r="1010" spans="2:9" ht="15">
      <c r="B1010" s="59"/>
      <c r="C1010" s="40"/>
      <c r="D1010" s="44"/>
      <c r="E1010" s="44"/>
      <c r="F1010" s="65"/>
      <c r="G1010" s="63"/>
      <c r="H1010" s="40"/>
      <c r="I1010" s="9"/>
    </row>
    <row r="1011" spans="2:9" ht="15">
      <c r="B1011" s="59"/>
      <c r="C1011" s="40"/>
      <c r="D1011" s="44"/>
      <c r="E1011" s="44"/>
      <c r="F1011" s="47"/>
      <c r="G1011" s="63"/>
      <c r="H1011" s="40"/>
      <c r="I1011" s="9"/>
    </row>
    <row r="1012" spans="2:9" ht="15">
      <c r="B1012" s="59"/>
      <c r="C1012" s="40"/>
      <c r="D1012" s="44"/>
      <c r="E1012" s="44"/>
      <c r="F1012" s="65"/>
      <c r="G1012" s="63"/>
      <c r="H1012" s="40"/>
      <c r="I1012" s="9"/>
    </row>
    <row r="1013" spans="2:9" ht="15">
      <c r="B1013" s="59"/>
      <c r="C1013" s="40"/>
      <c r="D1013" s="44"/>
      <c r="E1013" s="44"/>
      <c r="F1013" s="65"/>
      <c r="G1013" s="63"/>
      <c r="H1013" s="40"/>
      <c r="I1013" s="9"/>
    </row>
    <row r="1014" spans="2:9" ht="15">
      <c r="B1014" s="59"/>
      <c r="C1014" s="40"/>
      <c r="D1014" s="44"/>
      <c r="E1014" s="6"/>
      <c r="F1014" s="65"/>
      <c r="G1014" s="63"/>
      <c r="H1014" s="40"/>
      <c r="I1014" s="9"/>
    </row>
    <row r="1015" spans="2:9" ht="15">
      <c r="B1015" s="59"/>
      <c r="C1015" s="40"/>
      <c r="D1015" s="44"/>
      <c r="E1015" s="44"/>
      <c r="F1015" s="65"/>
      <c r="G1015" s="63"/>
      <c r="H1015" s="40"/>
      <c r="I1015" s="9"/>
    </row>
    <row r="1016" spans="2:9" ht="15">
      <c r="B1016" s="59"/>
      <c r="C1016" s="40"/>
      <c r="D1016" s="44"/>
      <c r="E1016" s="44"/>
      <c r="F1016" s="65"/>
      <c r="G1016" s="63"/>
      <c r="H1016" s="40"/>
      <c r="I1016" s="9"/>
    </row>
    <row r="1017" spans="2:9" ht="15">
      <c r="B1017" s="59"/>
      <c r="C1017" s="40"/>
      <c r="D1017" s="44"/>
      <c r="E1017" s="44"/>
      <c r="F1017" s="65"/>
      <c r="G1017" s="63"/>
      <c r="H1017" s="40"/>
      <c r="I1017" s="9"/>
    </row>
    <row r="1018" spans="2:9" ht="15">
      <c r="D1018" s="6"/>
      <c r="E1018" s="6"/>
      <c r="F1018" s="7"/>
      <c r="G1018" s="8"/>
      <c r="I1018" s="9"/>
    </row>
    <row r="1019" spans="2:9" ht="15">
      <c r="D1019" s="6"/>
      <c r="E1019" s="6"/>
      <c r="F1019" s="7"/>
      <c r="G1019" s="8"/>
      <c r="I1019" s="9"/>
    </row>
    <row r="1020" spans="2:9" ht="15">
      <c r="B1020" s="59"/>
      <c r="D1020" s="6"/>
      <c r="E1020" s="6"/>
      <c r="F1020" s="7"/>
      <c r="G1020" s="8"/>
      <c r="I1020" s="9"/>
    </row>
    <row r="1021" spans="2:9" ht="15">
      <c r="D1021" s="6"/>
      <c r="E1021" s="6"/>
      <c r="F1021" s="7"/>
      <c r="G1021" s="8"/>
      <c r="I1021" s="9"/>
    </row>
    <row r="1022" spans="2:9" ht="15">
      <c r="B1022" s="59"/>
      <c r="D1022" s="6"/>
      <c r="E1022" s="44"/>
      <c r="F1022" s="7"/>
      <c r="G1022" s="8"/>
      <c r="I1022" s="9"/>
    </row>
    <row r="1023" spans="2:9" ht="15">
      <c r="B1023" s="60"/>
      <c r="C1023" s="60"/>
      <c r="D1023" s="61"/>
      <c r="E1023" s="61"/>
      <c r="F1023" s="64"/>
      <c r="G1023" s="60"/>
      <c r="H1023" s="60"/>
      <c r="I1023" s="9"/>
    </row>
    <row r="1024" spans="2:9" ht="15">
      <c r="B1024" s="31"/>
      <c r="C1024" s="39"/>
      <c r="D1024" s="43"/>
      <c r="E1024" s="6"/>
      <c r="F1024" s="62"/>
      <c r="G1024" s="39"/>
      <c r="H1024" s="39"/>
      <c r="I1024" s="9"/>
    </row>
    <row r="1025" spans="2:9" ht="15">
      <c r="B1025" s="60"/>
      <c r="C1025" s="60"/>
      <c r="D1025" s="61"/>
      <c r="E1025" s="61"/>
      <c r="F1025" s="64"/>
      <c r="G1025" s="60"/>
      <c r="H1025" s="60"/>
      <c r="I1025" s="9"/>
    </row>
    <row r="1026" spans="2:9" ht="15">
      <c r="B1026" s="59"/>
      <c r="C1026" s="39"/>
      <c r="D1026" s="43"/>
      <c r="E1026" s="43"/>
      <c r="F1026" s="62"/>
      <c r="G1026" s="39"/>
      <c r="H1026" s="39"/>
      <c r="I1026" s="9"/>
    </row>
    <row r="1027" spans="2:9" ht="15">
      <c r="D1027" s="6"/>
      <c r="E1027" s="6"/>
      <c r="F1027" s="47"/>
      <c r="G1027" s="8"/>
      <c r="I1027" s="9"/>
    </row>
    <row r="1028" spans="2:9" ht="15">
      <c r="B1028" s="59"/>
      <c r="C1028" s="39"/>
      <c r="D1028" s="43"/>
      <c r="E1028" s="6"/>
      <c r="F1028" s="62"/>
      <c r="G1028" s="39"/>
      <c r="H1028" s="39"/>
      <c r="I1028" s="9"/>
    </row>
    <row r="1029" spans="2:9" ht="15">
      <c r="C1029" s="40"/>
      <c r="D1029" s="6"/>
      <c r="E1029" s="6"/>
      <c r="F1029" s="47"/>
      <c r="G1029" s="8"/>
      <c r="I1029" s="9"/>
    </row>
    <row r="1030" spans="2:9" ht="15">
      <c r="C1030" s="40"/>
      <c r="D1030" s="6"/>
      <c r="E1030" s="6"/>
      <c r="F1030" s="47"/>
      <c r="G1030" s="8"/>
      <c r="I1030" s="9"/>
    </row>
    <row r="1031" spans="2:9" ht="15">
      <c r="C1031" s="40"/>
      <c r="D1031" s="6"/>
      <c r="E1031" s="6"/>
      <c r="F1031" s="47"/>
      <c r="G1031" s="8"/>
      <c r="I1031" s="9"/>
    </row>
    <row r="1032" spans="2:9" ht="15">
      <c r="D1032" s="6"/>
      <c r="E1032" s="6"/>
      <c r="F1032" s="41"/>
      <c r="G1032" s="8"/>
      <c r="I1032" s="9"/>
    </row>
    <row r="1033" spans="2:9" ht="15">
      <c r="D1033" s="6"/>
      <c r="E1033" s="6"/>
      <c r="F1033" s="7"/>
      <c r="G1033" s="8"/>
      <c r="I1033" s="9"/>
    </row>
    <row r="1034" spans="2:9" ht="15">
      <c r="D1034" s="6"/>
      <c r="E1034" s="6"/>
      <c r="F1034" s="7"/>
      <c r="G1034" s="8"/>
      <c r="I1034" s="9"/>
    </row>
    <row r="1035" spans="2:9" ht="15">
      <c r="D1035" s="6"/>
      <c r="E1035" s="6"/>
      <c r="F1035" s="7"/>
      <c r="G1035" s="8"/>
      <c r="I1035" s="9"/>
    </row>
    <row r="1036" spans="2:9" ht="15">
      <c r="C1036" s="39"/>
      <c r="D1036" s="6"/>
      <c r="E1036" s="6"/>
      <c r="F1036" s="7"/>
      <c r="G1036" s="8"/>
      <c r="I1036" s="9"/>
    </row>
    <row r="1037" spans="2:9" ht="15">
      <c r="D1037" s="6"/>
      <c r="E1037" s="6"/>
      <c r="F1037" s="7"/>
      <c r="G1037" s="8"/>
      <c r="I1037" s="9"/>
    </row>
    <row r="1038" spans="2:9" ht="15">
      <c r="D1038" s="6"/>
      <c r="E1038" s="6"/>
      <c r="F1038" s="7"/>
      <c r="G1038" s="8"/>
      <c r="I1038" s="9"/>
    </row>
    <row r="1039" spans="2:9" ht="15">
      <c r="D1039" s="6"/>
      <c r="E1039" s="6"/>
      <c r="F1039" s="7"/>
      <c r="G1039" s="8"/>
      <c r="I1039" s="9"/>
    </row>
    <row r="1040" spans="2:9" ht="15">
      <c r="D1040" s="6"/>
      <c r="E1040" s="6"/>
      <c r="F1040" s="7"/>
      <c r="G1040" s="8"/>
      <c r="I1040" s="9"/>
    </row>
  </sheetData>
  <dataValidations count="3">
    <dataValidation type="list" allowBlank="1" showInputMessage="1" showErrorMessage="1" sqref="C27:C96 C120 C183:C190 C193 C17:C23 C379:C380 C955 C1018:C1025 C1028 C266 C275:C276 C280 C288:C289 C292 C297:C313 C324:C325 C331:C332 C345 C853:C854 C856:C858 C358 C363 C365 C863:C931" xr:uid="{D37C84EC-0E26-43AD-A7A4-4CB536E958D9}">
      <formula1>INDIRECT("Processen[Proces]")</formula1>
    </dataValidation>
    <dataValidation type="list" allowBlank="1" showInputMessage="1" showErrorMessage="1" sqref="D120 D183:D190 D193 D17:D96 D955 D1018:D1025 D1028 D266 D275:D276 D280 D288:D292 D297:D313 D324:D325 D331:D332 D345 D853:D854 D365 D358 D363 D856 D379:D380 D858 D860 D863:D931" xr:uid="{86E0B215-6625-48CB-820B-07656C3BBAFD}">
      <formula1>INDIRECT(C17)</formula1>
    </dataValidation>
    <dataValidation type="list" allowBlank="1" showInputMessage="1" showErrorMessage="1" sqref="B120 B183:B184 B186 B188 B190 B17:B96 B955 B1018:B1019 B1021 B1023 B1025 B266 B275:B276 B280 B288:B292 B297:B313 B324:B325 B328:B329 B331:B332 B334 B854 B379:B380 B358 B363 B365 B856:B858 B860 B863:B931" xr:uid="{04BCF1A4-985B-4D13-AB87-E6EBBA837401}">
      <formula1>INDIRECT("NAMENLIJST")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date" operator="greaterThan" allowBlank="1" showInputMessage="1" showErrorMessage="1" xr:uid="{1410BD53-0AFD-4781-897D-B151E396F5CB}">
          <x14:formula1>
            <xm:f>Lijsten!G1048331</xm:f>
          </x14:formula1>
          <xm:sqref>F864:F889 F379:F380 F853:F854 F891:F931 F935:F937 F957 F1018:F1024 F1033:F1035 F856:F858 F860</xm:sqref>
        </x14:dataValidation>
        <x14:dataValidation type="date" operator="greaterThan" allowBlank="1" showInputMessage="1" showErrorMessage="1" xr:uid="{481B1495-C7BC-4C6D-9DB9-EEB62BB54746}">
          <x14:formula1>
            <xm:f>Lijsten!G33</xm:f>
          </x14:formula1>
          <xm:sqref>F29:F54 F365 F363 F358 F23:F26 F56:F96 F100:F102 F122 F183:F189 F198:F200 F266 F269:F273 F275:F276 F280 F289:F291 F297:F313 F345</xm:sqref>
        </x14:dataValidation>
        <x14:dataValidation type="date" operator="greaterThan" allowBlank="1" showInputMessage="1" showErrorMessage="1" xr:uid="{AADEB006-BC25-46EA-A3FB-10935BCFEA34}">
          <x14:formula1>
            <xm:f>Lijsten!G28</xm:f>
          </x14:formula1>
          <xm:sqref>F17:F22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8D10-C669-4D94-81A5-0364DCBE81A5}">
  <dimension ref="A2:G92"/>
  <sheetViews>
    <sheetView topLeftCell="A14" workbookViewId="0">
      <selection activeCell="B26" sqref="B26:C26"/>
    </sheetView>
  </sheetViews>
  <sheetFormatPr defaultColWidth="8.85546875" defaultRowHeight="14.45"/>
  <cols>
    <col min="1" max="1" width="19.42578125" style="2" customWidth="1"/>
    <col min="2" max="2" width="24.42578125" style="2" bestFit="1" customWidth="1"/>
    <col min="3" max="3" width="53.42578125" style="2" customWidth="1"/>
    <col min="4" max="5" width="8.85546875" style="2"/>
    <col min="6" max="6" width="17.5703125" style="2" bestFit="1" customWidth="1"/>
    <col min="7" max="7" width="10.28515625" style="2" bestFit="1" customWidth="1"/>
    <col min="8" max="8" width="13.140625" style="2" bestFit="1" customWidth="1"/>
    <col min="9" max="16384" width="8.85546875" style="2"/>
  </cols>
  <sheetData>
    <row r="2" spans="1:7">
      <c r="A2" s="2" t="s">
        <v>0</v>
      </c>
    </row>
    <row r="3" spans="1:7">
      <c r="A3" s="2" t="s">
        <v>2</v>
      </c>
    </row>
    <row r="4" spans="1:7">
      <c r="A4" s="2" t="s">
        <v>3</v>
      </c>
    </row>
    <row r="5" spans="1:7">
      <c r="A5" s="2" t="s">
        <v>5</v>
      </c>
    </row>
    <row r="6" spans="1:7">
      <c r="A6" s="2" t="s">
        <v>7</v>
      </c>
    </row>
    <row r="7" spans="1:7">
      <c r="A7" s="2" t="s">
        <v>9</v>
      </c>
    </row>
    <row r="15" spans="1:7">
      <c r="A15" s="10" t="s">
        <v>36</v>
      </c>
      <c r="B15" s="10" t="s">
        <v>30</v>
      </c>
      <c r="C15" s="10" t="s">
        <v>31</v>
      </c>
      <c r="G15" s="7"/>
    </row>
    <row r="16" spans="1:7">
      <c r="A16" s="11" t="s">
        <v>341</v>
      </c>
      <c r="B16" s="11" t="s">
        <v>55</v>
      </c>
      <c r="C16" s="21" t="s">
        <v>56</v>
      </c>
    </row>
    <row r="17" spans="1:3">
      <c r="A17" s="11" t="s">
        <v>341</v>
      </c>
      <c r="B17" s="11" t="s">
        <v>55</v>
      </c>
      <c r="C17" s="21" t="s">
        <v>281</v>
      </c>
    </row>
    <row r="18" spans="1:3">
      <c r="A18" s="11" t="s">
        <v>341</v>
      </c>
      <c r="B18" s="11" t="s">
        <v>55</v>
      </c>
      <c r="C18" s="21" t="s">
        <v>67</v>
      </c>
    </row>
    <row r="19" spans="1:3">
      <c r="A19" s="11" t="s">
        <v>86</v>
      </c>
      <c r="B19" s="11" t="s">
        <v>55</v>
      </c>
      <c r="C19" s="21" t="s">
        <v>158</v>
      </c>
    </row>
    <row r="20" spans="1:3">
      <c r="A20" s="13" t="s">
        <v>86</v>
      </c>
      <c r="B20" s="13" t="s">
        <v>55</v>
      </c>
      <c r="C20" s="22" t="s">
        <v>100</v>
      </c>
    </row>
    <row r="21" spans="1:3">
      <c r="A21" s="11" t="s">
        <v>86</v>
      </c>
      <c r="B21" s="11" t="s">
        <v>55</v>
      </c>
      <c r="C21" s="21" t="s">
        <v>69</v>
      </c>
    </row>
    <row r="22" spans="1:3">
      <c r="A22" s="11" t="s">
        <v>86</v>
      </c>
      <c r="B22" s="11" t="s">
        <v>55</v>
      </c>
      <c r="C22" s="21" t="s">
        <v>292</v>
      </c>
    </row>
    <row r="23" spans="1:3">
      <c r="A23" s="11" t="s">
        <v>86</v>
      </c>
      <c r="B23" s="11" t="s">
        <v>55</v>
      </c>
      <c r="C23" s="21" t="s">
        <v>342</v>
      </c>
    </row>
    <row r="24" spans="1:3">
      <c r="A24" s="11" t="s">
        <v>86</v>
      </c>
      <c r="B24" s="11" t="s">
        <v>55</v>
      </c>
      <c r="C24" s="21" t="s">
        <v>74</v>
      </c>
    </row>
    <row r="25" spans="1:3">
      <c r="A25" s="13" t="s">
        <v>86</v>
      </c>
      <c r="B25" s="13" t="s">
        <v>55</v>
      </c>
      <c r="C25" s="22" t="s">
        <v>103</v>
      </c>
    </row>
    <row r="26" spans="1:3">
      <c r="A26" s="12" t="s">
        <v>341</v>
      </c>
      <c r="B26" s="11" t="s">
        <v>55</v>
      </c>
      <c r="C26" s="17" t="s">
        <v>109</v>
      </c>
    </row>
    <row r="27" spans="1:3">
      <c r="A27" s="12" t="s">
        <v>86</v>
      </c>
      <c r="B27" s="12" t="s">
        <v>55</v>
      </c>
      <c r="C27" s="17" t="s">
        <v>83</v>
      </c>
    </row>
    <row r="28" spans="1:3">
      <c r="A28" s="11" t="s">
        <v>86</v>
      </c>
      <c r="B28" s="11" t="s">
        <v>127</v>
      </c>
      <c r="C28" s="21" t="s">
        <v>343</v>
      </c>
    </row>
    <row r="29" spans="1:3">
      <c r="A29" s="11" t="s">
        <v>86</v>
      </c>
      <c r="B29" s="11" t="s">
        <v>127</v>
      </c>
      <c r="C29" s="21" t="s">
        <v>128</v>
      </c>
    </row>
    <row r="30" spans="1:3">
      <c r="A30" s="11" t="s">
        <v>86</v>
      </c>
      <c r="B30" s="11" t="s">
        <v>127</v>
      </c>
      <c r="C30" s="21" t="s">
        <v>344</v>
      </c>
    </row>
    <row r="31" spans="1:3">
      <c r="A31" s="11" t="s">
        <v>86</v>
      </c>
      <c r="B31" s="11" t="s">
        <v>127</v>
      </c>
      <c r="C31" s="21" t="s">
        <v>141</v>
      </c>
    </row>
    <row r="32" spans="1:3">
      <c r="A32" s="11" t="s">
        <v>86</v>
      </c>
      <c r="B32" s="11" t="s">
        <v>127</v>
      </c>
      <c r="C32" s="21" t="s">
        <v>145</v>
      </c>
    </row>
    <row r="33" spans="1:3">
      <c r="A33" s="11" t="s">
        <v>86</v>
      </c>
      <c r="B33" s="11" t="s">
        <v>127</v>
      </c>
      <c r="C33" s="21" t="s">
        <v>345</v>
      </c>
    </row>
    <row r="34" spans="1:3">
      <c r="A34" s="11" t="s">
        <v>86</v>
      </c>
      <c r="B34" s="11" t="s">
        <v>127</v>
      </c>
      <c r="C34" s="21" t="s">
        <v>155</v>
      </c>
    </row>
    <row r="35" spans="1:3">
      <c r="A35" s="84" t="s">
        <v>86</v>
      </c>
      <c r="B35" s="13" t="s">
        <v>127</v>
      </c>
      <c r="C35" s="22" t="s">
        <v>346</v>
      </c>
    </row>
    <row r="36" spans="1:3">
      <c r="A36" s="11" t="s">
        <v>86</v>
      </c>
      <c r="B36" s="11" t="s">
        <v>127</v>
      </c>
      <c r="C36" s="21" t="s">
        <v>286</v>
      </c>
    </row>
    <row r="37" spans="1:3">
      <c r="A37" s="11" t="s">
        <v>347</v>
      </c>
      <c r="B37" s="11" t="s">
        <v>64</v>
      </c>
      <c r="C37" s="21" t="s">
        <v>65</v>
      </c>
    </row>
    <row r="38" spans="1:3">
      <c r="A38" s="11" t="s">
        <v>347</v>
      </c>
      <c r="B38" s="11" t="s">
        <v>64</v>
      </c>
      <c r="C38" s="21" t="s">
        <v>348</v>
      </c>
    </row>
    <row r="39" spans="1:3">
      <c r="A39" s="11" t="s">
        <v>347</v>
      </c>
      <c r="B39" s="11" t="s">
        <v>64</v>
      </c>
      <c r="C39" s="21" t="s">
        <v>134</v>
      </c>
    </row>
    <row r="40" spans="1:3">
      <c r="A40" s="11" t="s">
        <v>347</v>
      </c>
      <c r="B40" s="11" t="s">
        <v>64</v>
      </c>
      <c r="C40" s="21" t="s">
        <v>147</v>
      </c>
    </row>
    <row r="41" spans="1:3">
      <c r="A41" s="11" t="s">
        <v>347</v>
      </c>
      <c r="B41" s="11" t="s">
        <v>64</v>
      </c>
      <c r="C41" s="21" t="s">
        <v>113</v>
      </c>
    </row>
    <row r="42" spans="1:3">
      <c r="A42" s="11" t="s">
        <v>347</v>
      </c>
      <c r="B42" s="11" t="s">
        <v>64</v>
      </c>
      <c r="C42" s="21" t="s">
        <v>181</v>
      </c>
    </row>
    <row r="43" spans="1:3">
      <c r="A43" s="11" t="s">
        <v>174</v>
      </c>
      <c r="B43" s="11" t="s">
        <v>64</v>
      </c>
      <c r="C43" s="21" t="s">
        <v>114</v>
      </c>
    </row>
    <row r="44" spans="1:3">
      <c r="A44" s="14" t="s">
        <v>174</v>
      </c>
      <c r="B44" s="13" t="s">
        <v>64</v>
      </c>
      <c r="C44" s="22" t="s">
        <v>349</v>
      </c>
    </row>
    <row r="45" spans="1:3">
      <c r="A45" s="11" t="s">
        <v>350</v>
      </c>
      <c r="B45" s="11" t="s">
        <v>37</v>
      </c>
      <c r="C45" s="21" t="s">
        <v>48</v>
      </c>
    </row>
    <row r="46" spans="1:3">
      <c r="A46" s="11" t="s">
        <v>350</v>
      </c>
      <c r="B46" s="11" t="s">
        <v>37</v>
      </c>
      <c r="C46" s="21" t="s">
        <v>38</v>
      </c>
    </row>
    <row r="47" spans="1:3">
      <c r="A47" s="11" t="s">
        <v>350</v>
      </c>
      <c r="B47" s="11" t="s">
        <v>37</v>
      </c>
      <c r="C47" s="21" t="s">
        <v>41</v>
      </c>
    </row>
    <row r="48" spans="1:3">
      <c r="A48" s="11" t="s">
        <v>350</v>
      </c>
      <c r="B48" s="11" t="s">
        <v>37</v>
      </c>
      <c r="C48" s="21" t="s">
        <v>43</v>
      </c>
    </row>
    <row r="49" spans="1:3">
      <c r="A49" s="11" t="s">
        <v>350</v>
      </c>
      <c r="B49" s="11" t="s">
        <v>37</v>
      </c>
      <c r="C49" s="21" t="s">
        <v>336</v>
      </c>
    </row>
    <row r="50" spans="1:3">
      <c r="A50" s="11" t="s">
        <v>350</v>
      </c>
      <c r="B50" s="11" t="s">
        <v>37</v>
      </c>
      <c r="C50" s="21" t="s">
        <v>45</v>
      </c>
    </row>
    <row r="51" spans="1:3">
      <c r="A51" s="11" t="s">
        <v>350</v>
      </c>
      <c r="B51" s="11" t="s">
        <v>37</v>
      </c>
      <c r="C51" s="21" t="s">
        <v>351</v>
      </c>
    </row>
    <row r="52" spans="1:3">
      <c r="A52" s="13" t="s">
        <v>350</v>
      </c>
      <c r="B52" s="13" t="s">
        <v>37</v>
      </c>
      <c r="C52" s="22" t="s">
        <v>46</v>
      </c>
    </row>
    <row r="53" spans="1:3">
      <c r="A53" s="11" t="s">
        <v>350</v>
      </c>
      <c r="B53" s="11" t="s">
        <v>37</v>
      </c>
      <c r="C53" s="21" t="s">
        <v>47</v>
      </c>
    </row>
    <row r="54" spans="1:3">
      <c r="A54" s="15" t="s">
        <v>174</v>
      </c>
      <c r="B54" s="11" t="s">
        <v>37</v>
      </c>
      <c r="C54" s="21" t="s">
        <v>352</v>
      </c>
    </row>
    <row r="55" spans="1:3">
      <c r="A55" s="11" t="s">
        <v>341</v>
      </c>
      <c r="B55" s="11" t="s">
        <v>37</v>
      </c>
      <c r="C55" s="21" t="s">
        <v>62</v>
      </c>
    </row>
    <row r="56" spans="1:3">
      <c r="A56" s="12" t="s">
        <v>341</v>
      </c>
      <c r="B56" s="11" t="s">
        <v>50</v>
      </c>
      <c r="C56" s="21" t="s">
        <v>53</v>
      </c>
    </row>
    <row r="57" spans="1:3">
      <c r="A57" s="12" t="s">
        <v>341</v>
      </c>
      <c r="B57" s="11" t="s">
        <v>50</v>
      </c>
      <c r="C57" s="21" t="s">
        <v>353</v>
      </c>
    </row>
    <row r="58" spans="1:3">
      <c r="A58" s="12" t="s">
        <v>341</v>
      </c>
      <c r="B58" s="11" t="s">
        <v>50</v>
      </c>
      <c r="C58" s="21" t="s">
        <v>132</v>
      </c>
    </row>
    <row r="59" spans="1:3">
      <c r="A59" s="12" t="s">
        <v>350</v>
      </c>
      <c r="B59" s="11" t="s">
        <v>50</v>
      </c>
      <c r="C59" s="21" t="s">
        <v>354</v>
      </c>
    </row>
    <row r="60" spans="1:3">
      <c r="A60" s="12" t="s">
        <v>350</v>
      </c>
      <c r="B60" s="11" t="s">
        <v>50</v>
      </c>
      <c r="C60" s="21" t="s">
        <v>125</v>
      </c>
    </row>
    <row r="61" spans="1:3">
      <c r="A61" s="12" t="s">
        <v>350</v>
      </c>
      <c r="B61" s="11" t="s">
        <v>50</v>
      </c>
      <c r="C61" s="21" t="s">
        <v>58</v>
      </c>
    </row>
    <row r="62" spans="1:3">
      <c r="A62" s="12" t="s">
        <v>350</v>
      </c>
      <c r="B62" s="11" t="s">
        <v>50</v>
      </c>
      <c r="C62" s="21" t="s">
        <v>355</v>
      </c>
    </row>
    <row r="63" spans="1:3">
      <c r="A63" s="85" t="s">
        <v>350</v>
      </c>
      <c r="B63" s="13" t="s">
        <v>50</v>
      </c>
      <c r="C63" s="22" t="s">
        <v>152</v>
      </c>
    </row>
    <row r="64" spans="1:3">
      <c r="A64" s="12" t="s">
        <v>350</v>
      </c>
      <c r="B64" s="16" t="s">
        <v>50</v>
      </c>
      <c r="C64" s="23" t="s">
        <v>260</v>
      </c>
    </row>
    <row r="65" spans="1:3">
      <c r="A65" s="12" t="s">
        <v>350</v>
      </c>
      <c r="B65" s="16" t="s">
        <v>50</v>
      </c>
      <c r="C65" s="21" t="s">
        <v>71</v>
      </c>
    </row>
    <row r="66" spans="1:3">
      <c r="A66" s="12" t="s">
        <v>350</v>
      </c>
      <c r="B66" s="16" t="s">
        <v>50</v>
      </c>
      <c r="C66" s="21" t="s">
        <v>97</v>
      </c>
    </row>
    <row r="67" spans="1:3">
      <c r="A67" s="12" t="s">
        <v>86</v>
      </c>
      <c r="B67" s="16" t="s">
        <v>50</v>
      </c>
      <c r="C67" s="21" t="s">
        <v>356</v>
      </c>
    </row>
    <row r="68" spans="1:3">
      <c r="A68" s="12" t="s">
        <v>86</v>
      </c>
      <c r="B68" s="16" t="s">
        <v>50</v>
      </c>
      <c r="C68" s="21" t="s">
        <v>150</v>
      </c>
    </row>
    <row r="69" spans="1:3">
      <c r="A69" s="12" t="s">
        <v>86</v>
      </c>
      <c r="B69" s="16" t="s">
        <v>50</v>
      </c>
      <c r="C69" s="21" t="s">
        <v>357</v>
      </c>
    </row>
    <row r="70" spans="1:3">
      <c r="A70" s="12" t="s">
        <v>86</v>
      </c>
      <c r="B70" s="16" t="s">
        <v>50</v>
      </c>
      <c r="C70" s="21" t="s">
        <v>225</v>
      </c>
    </row>
    <row r="71" spans="1:3">
      <c r="A71" s="12" t="s">
        <v>86</v>
      </c>
      <c r="B71" s="16" t="s">
        <v>50</v>
      </c>
      <c r="C71" s="21" t="s">
        <v>230</v>
      </c>
    </row>
    <row r="72" spans="1:3">
      <c r="A72" s="12" t="s">
        <v>86</v>
      </c>
      <c r="B72" s="16" t="s">
        <v>50</v>
      </c>
      <c r="C72" s="21" t="s">
        <v>60</v>
      </c>
    </row>
    <row r="73" spans="1:3">
      <c r="A73" s="12" t="s">
        <v>174</v>
      </c>
      <c r="B73" s="16" t="s">
        <v>50</v>
      </c>
      <c r="C73" s="21" t="s">
        <v>138</v>
      </c>
    </row>
    <row r="74" spans="1:3">
      <c r="A74" s="12" t="s">
        <v>174</v>
      </c>
      <c r="B74" s="16" t="s">
        <v>50</v>
      </c>
      <c r="C74" s="21" t="s">
        <v>115</v>
      </c>
    </row>
    <row r="75" spans="1:3">
      <c r="A75" s="12" t="s">
        <v>174</v>
      </c>
      <c r="B75" s="16" t="s">
        <v>50</v>
      </c>
      <c r="C75" s="21" t="s">
        <v>358</v>
      </c>
    </row>
    <row r="76" spans="1:3">
      <c r="A76" s="12" t="s">
        <v>174</v>
      </c>
      <c r="B76" s="16" t="s">
        <v>50</v>
      </c>
      <c r="C76" s="21" t="s">
        <v>95</v>
      </c>
    </row>
    <row r="77" spans="1:3">
      <c r="A77" s="12" t="s">
        <v>174</v>
      </c>
      <c r="B77" s="16" t="s">
        <v>50</v>
      </c>
      <c r="C77" s="21" t="s">
        <v>359</v>
      </c>
    </row>
    <row r="78" spans="1:3">
      <c r="A78" s="12" t="s">
        <v>174</v>
      </c>
      <c r="B78" s="16" t="s">
        <v>50</v>
      </c>
      <c r="C78" s="21" t="s">
        <v>87</v>
      </c>
    </row>
    <row r="79" spans="1:3">
      <c r="A79" s="12" t="s">
        <v>174</v>
      </c>
      <c r="B79" s="16" t="s">
        <v>50</v>
      </c>
      <c r="C79" s="21" t="s">
        <v>89</v>
      </c>
    </row>
    <row r="80" spans="1:3">
      <c r="A80" s="12" t="s">
        <v>174</v>
      </c>
      <c r="B80" s="16" t="s">
        <v>50</v>
      </c>
      <c r="C80" s="21" t="s">
        <v>92</v>
      </c>
    </row>
    <row r="81" spans="1:3">
      <c r="A81" s="12" t="s">
        <v>341</v>
      </c>
      <c r="B81" s="16" t="s">
        <v>50</v>
      </c>
      <c r="C81" s="17" t="s">
        <v>171</v>
      </c>
    </row>
    <row r="82" spans="1:3">
      <c r="A82" s="12" t="s">
        <v>341</v>
      </c>
      <c r="B82" s="16" t="s">
        <v>50</v>
      </c>
      <c r="C82" s="17" t="s">
        <v>51</v>
      </c>
    </row>
    <row r="83" spans="1:3">
      <c r="A83" s="11" t="s">
        <v>347</v>
      </c>
      <c r="B83" s="16" t="s">
        <v>77</v>
      </c>
      <c r="C83" s="21" t="s">
        <v>360</v>
      </c>
    </row>
    <row r="84" spans="1:3">
      <c r="A84" s="11" t="s">
        <v>347</v>
      </c>
      <c r="B84" s="16" t="s">
        <v>77</v>
      </c>
      <c r="C84" s="21" t="s">
        <v>78</v>
      </c>
    </row>
    <row r="85" spans="1:3">
      <c r="A85" s="11" t="s">
        <v>347</v>
      </c>
      <c r="B85" s="16" t="s">
        <v>77</v>
      </c>
      <c r="C85" s="21" t="s">
        <v>80</v>
      </c>
    </row>
    <row r="86" spans="1:3">
      <c r="A86" s="11" t="s">
        <v>347</v>
      </c>
      <c r="B86" s="16" t="s">
        <v>77</v>
      </c>
      <c r="C86" s="21" t="s">
        <v>263</v>
      </c>
    </row>
    <row r="87" spans="1:3">
      <c r="A87" s="11" t="s">
        <v>86</v>
      </c>
      <c r="B87" s="16" t="s">
        <v>77</v>
      </c>
      <c r="C87" s="21" t="s">
        <v>81</v>
      </c>
    </row>
    <row r="88" spans="1:3">
      <c r="A88" s="11" t="s">
        <v>86</v>
      </c>
      <c r="B88" s="16" t="s">
        <v>77</v>
      </c>
      <c r="C88" s="21" t="s">
        <v>298</v>
      </c>
    </row>
    <row r="89" spans="1:3">
      <c r="A89" s="11" t="s">
        <v>86</v>
      </c>
      <c r="B89" s="16" t="s">
        <v>77</v>
      </c>
      <c r="C89" s="21" t="s">
        <v>107</v>
      </c>
    </row>
    <row r="90" spans="1:3">
      <c r="A90" s="11" t="s">
        <v>86</v>
      </c>
      <c r="B90" s="11" t="s">
        <v>77</v>
      </c>
      <c r="C90" s="21" t="s">
        <v>279</v>
      </c>
    </row>
    <row r="91" spans="1:3">
      <c r="A91" s="11" t="s">
        <v>174</v>
      </c>
      <c r="B91" s="11" t="s">
        <v>77</v>
      </c>
      <c r="C91" s="21" t="s">
        <v>255</v>
      </c>
    </row>
    <row r="92" spans="1:3">
      <c r="A92" s="83" t="s">
        <v>174</v>
      </c>
      <c r="B92" s="16" t="s">
        <v>77</v>
      </c>
      <c r="C92" s="21" t="s">
        <v>255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32AD-7C0C-49B7-9C94-F45924FF0FA9}">
  <dimension ref="B2:F138"/>
  <sheetViews>
    <sheetView tabSelected="1" workbookViewId="0">
      <selection activeCell="G4" sqref="G4"/>
    </sheetView>
  </sheetViews>
  <sheetFormatPr defaultColWidth="8.85546875" defaultRowHeight="14.45"/>
  <cols>
    <col min="1" max="1" width="8.85546875" style="2"/>
    <col min="2" max="2" width="33.85546875" style="2" bestFit="1" customWidth="1"/>
    <col min="3" max="3" width="13.140625" style="2" bestFit="1" customWidth="1"/>
    <col min="4" max="4" width="15.5703125" style="2" bestFit="1" customWidth="1"/>
    <col min="5" max="5" width="23.5703125" style="2" bestFit="1" customWidth="1"/>
    <col min="6" max="6" width="13.140625" style="2" bestFit="1" customWidth="1"/>
    <col min="7" max="7" width="15.5703125" style="2" bestFit="1" customWidth="1"/>
    <col min="8" max="16384" width="8.85546875" style="2"/>
  </cols>
  <sheetData>
    <row r="2" spans="2:6">
      <c r="B2" s="2" t="s">
        <v>361</v>
      </c>
      <c r="E2" s="2" t="s">
        <v>362</v>
      </c>
    </row>
    <row r="3" spans="2:6" ht="15">
      <c r="B3" s="24" t="s">
        <v>363</v>
      </c>
      <c r="C3" s="25" t="s">
        <v>364</v>
      </c>
      <c r="E3" s="24" t="s">
        <v>363</v>
      </c>
      <c r="F3" s="25" t="s">
        <v>364</v>
      </c>
    </row>
    <row r="4" spans="2:6" ht="15">
      <c r="B4" s="26" t="s">
        <v>3</v>
      </c>
      <c r="C4" s="25">
        <v>146.1</v>
      </c>
      <c r="E4" s="26" t="s">
        <v>3</v>
      </c>
      <c r="F4" s="25">
        <v>146.1</v>
      </c>
    </row>
    <row r="5" spans="2:6" ht="15">
      <c r="B5" s="27" t="s">
        <v>40</v>
      </c>
      <c r="C5" s="25">
        <v>25.25</v>
      </c>
      <c r="E5" s="27" t="s">
        <v>40</v>
      </c>
      <c r="F5" s="25">
        <v>25.25</v>
      </c>
    </row>
    <row r="6" spans="2:6" ht="15">
      <c r="B6" s="28" t="s">
        <v>64</v>
      </c>
      <c r="C6" s="25">
        <v>2</v>
      </c>
      <c r="E6" s="28" t="s">
        <v>350</v>
      </c>
      <c r="F6" s="25">
        <v>9</v>
      </c>
    </row>
    <row r="7" spans="2:6" ht="15">
      <c r="B7" s="28" t="s">
        <v>37</v>
      </c>
      <c r="C7" s="25">
        <v>11</v>
      </c>
      <c r="E7" s="28" t="s">
        <v>341</v>
      </c>
      <c r="F7" s="25">
        <v>5</v>
      </c>
    </row>
    <row r="8" spans="2:6" ht="15">
      <c r="B8" s="28" t="s">
        <v>77</v>
      </c>
      <c r="C8" s="25">
        <v>3.5</v>
      </c>
      <c r="E8" s="28" t="s">
        <v>86</v>
      </c>
      <c r="F8" s="25">
        <v>2.25</v>
      </c>
    </row>
    <row r="9" spans="2:6" ht="15">
      <c r="B9" s="28" t="s">
        <v>50</v>
      </c>
      <c r="C9" s="25">
        <v>8.75</v>
      </c>
      <c r="E9" s="28" t="s">
        <v>347</v>
      </c>
      <c r="F9" s="25">
        <v>4</v>
      </c>
    </row>
    <row r="10" spans="2:6" ht="15">
      <c r="B10" s="27" t="s">
        <v>120</v>
      </c>
      <c r="C10" s="25">
        <v>22.55</v>
      </c>
      <c r="E10" s="28" t="s">
        <v>174</v>
      </c>
      <c r="F10" s="25">
        <v>5</v>
      </c>
    </row>
    <row r="11" spans="2:6" ht="15">
      <c r="B11" s="28" t="s">
        <v>127</v>
      </c>
      <c r="C11" s="25">
        <v>4</v>
      </c>
      <c r="E11" s="27" t="s">
        <v>120</v>
      </c>
      <c r="F11" s="25">
        <v>22.55</v>
      </c>
    </row>
    <row r="12" spans="2:6" ht="15">
      <c r="B12" s="28" t="s">
        <v>64</v>
      </c>
      <c r="C12" s="25">
        <v>8</v>
      </c>
      <c r="E12" s="28" t="s">
        <v>350</v>
      </c>
      <c r="F12" s="25">
        <v>5</v>
      </c>
    </row>
    <row r="13" spans="2:6" ht="15">
      <c r="B13" s="28" t="s">
        <v>37</v>
      </c>
      <c r="C13" s="25">
        <v>2</v>
      </c>
      <c r="E13" s="28" t="s">
        <v>341</v>
      </c>
      <c r="F13" s="25">
        <v>1</v>
      </c>
    </row>
    <row r="14" spans="2:6" ht="15">
      <c r="B14" s="28" t="s">
        <v>50</v>
      </c>
      <c r="C14" s="25">
        <v>8.5500000000000007</v>
      </c>
      <c r="E14" s="28" t="s">
        <v>86</v>
      </c>
      <c r="F14" s="25">
        <v>4.5</v>
      </c>
    </row>
    <row r="15" spans="2:6" ht="15">
      <c r="B15" s="27" t="s">
        <v>167</v>
      </c>
      <c r="C15" s="25">
        <v>51.5</v>
      </c>
      <c r="E15" s="28" t="s">
        <v>347</v>
      </c>
      <c r="F15" s="25">
        <v>8</v>
      </c>
    </row>
    <row r="16" spans="2:6" ht="15">
      <c r="B16" s="28" t="s">
        <v>127</v>
      </c>
      <c r="C16" s="25">
        <v>24</v>
      </c>
      <c r="E16" s="28" t="s">
        <v>174</v>
      </c>
      <c r="F16" s="25">
        <v>4.05</v>
      </c>
    </row>
    <row r="17" spans="2:6" ht="15">
      <c r="B17" s="28" t="s">
        <v>64</v>
      </c>
      <c r="C17" s="25">
        <v>5</v>
      </c>
      <c r="E17" s="27" t="s">
        <v>167</v>
      </c>
      <c r="F17" s="25">
        <v>51.5</v>
      </c>
    </row>
    <row r="18" spans="2:6" ht="15">
      <c r="B18" s="28" t="s">
        <v>37</v>
      </c>
      <c r="C18" s="25">
        <v>3</v>
      </c>
      <c r="E18" s="28" t="s">
        <v>350</v>
      </c>
      <c r="F18" s="25">
        <v>5</v>
      </c>
    </row>
    <row r="19" spans="2:6" ht="15">
      <c r="B19" s="28" t="s">
        <v>77</v>
      </c>
      <c r="C19" s="25">
        <v>5</v>
      </c>
      <c r="E19" s="28" t="s">
        <v>341</v>
      </c>
      <c r="F19" s="25">
        <v>6</v>
      </c>
    </row>
    <row r="20" spans="2:6" ht="15">
      <c r="B20" s="28" t="s">
        <v>50</v>
      </c>
      <c r="C20" s="25">
        <v>14.5</v>
      </c>
      <c r="E20" s="28" t="s">
        <v>86</v>
      </c>
      <c r="F20" s="25">
        <v>32</v>
      </c>
    </row>
    <row r="21" spans="2:6" ht="15">
      <c r="B21" s="27" t="s">
        <v>239</v>
      </c>
      <c r="C21" s="25">
        <v>46.8</v>
      </c>
      <c r="E21" s="28" t="s">
        <v>347</v>
      </c>
      <c r="F21" s="25">
        <v>8</v>
      </c>
    </row>
    <row r="22" spans="2:6" ht="15">
      <c r="B22" s="28" t="s">
        <v>55</v>
      </c>
      <c r="C22" s="25">
        <v>3.95</v>
      </c>
      <c r="E22" s="28" t="s">
        <v>174</v>
      </c>
      <c r="F22" s="25">
        <v>0.5</v>
      </c>
    </row>
    <row r="23" spans="2:6" ht="15">
      <c r="B23" s="28" t="s">
        <v>127</v>
      </c>
      <c r="C23" s="25">
        <v>14</v>
      </c>
      <c r="E23" s="27" t="s">
        <v>239</v>
      </c>
      <c r="F23" s="25">
        <v>46.800000000000004</v>
      </c>
    </row>
    <row r="24" spans="2:6" ht="15">
      <c r="B24" s="28" t="s">
        <v>64</v>
      </c>
      <c r="C24" s="25">
        <v>1.25</v>
      </c>
      <c r="E24" s="28" t="s">
        <v>350</v>
      </c>
      <c r="F24" s="25">
        <v>5</v>
      </c>
    </row>
    <row r="25" spans="2:6" ht="15">
      <c r="B25" s="28" t="s">
        <v>37</v>
      </c>
      <c r="C25" s="25">
        <v>7.5</v>
      </c>
      <c r="E25" s="28" t="s">
        <v>341</v>
      </c>
      <c r="F25" s="25">
        <v>15.9</v>
      </c>
    </row>
    <row r="26" spans="2:6" ht="15">
      <c r="B26" s="28" t="s">
        <v>77</v>
      </c>
      <c r="C26" s="25">
        <v>4.25</v>
      </c>
      <c r="E26" s="28" t="s">
        <v>86</v>
      </c>
      <c r="F26" s="25">
        <v>19.200000000000003</v>
      </c>
    </row>
    <row r="27" spans="2:6" ht="15">
      <c r="B27" s="28" t="s">
        <v>50</v>
      </c>
      <c r="C27" s="25">
        <v>15.85</v>
      </c>
      <c r="E27" s="28" t="s">
        <v>347</v>
      </c>
      <c r="F27" s="25">
        <v>1.25</v>
      </c>
    </row>
    <row r="28" spans="2:6" ht="15">
      <c r="B28" s="26" t="s">
        <v>5</v>
      </c>
      <c r="C28" s="25">
        <v>93.2</v>
      </c>
      <c r="E28" s="28" t="s">
        <v>174</v>
      </c>
      <c r="F28" s="25">
        <v>5.45</v>
      </c>
    </row>
    <row r="29" spans="2:6" ht="15">
      <c r="B29" s="27" t="s">
        <v>40</v>
      </c>
      <c r="C29" s="25">
        <v>3.5</v>
      </c>
      <c r="E29" s="26" t="s">
        <v>2</v>
      </c>
      <c r="F29" s="25">
        <v>139.70000000000002</v>
      </c>
    </row>
    <row r="30" spans="2:6" ht="15">
      <c r="B30" s="28" t="s">
        <v>50</v>
      </c>
      <c r="C30" s="25">
        <v>3.5</v>
      </c>
      <c r="E30" s="27" t="s">
        <v>40</v>
      </c>
      <c r="F30" s="25">
        <v>21.35</v>
      </c>
    </row>
    <row r="31" spans="2:6" ht="15">
      <c r="B31" s="27" t="s">
        <v>120</v>
      </c>
      <c r="C31" s="25">
        <v>19.3</v>
      </c>
      <c r="E31" s="28" t="s">
        <v>350</v>
      </c>
      <c r="F31" s="25">
        <v>4.75</v>
      </c>
    </row>
    <row r="32" spans="2:6" ht="15">
      <c r="B32" s="28" t="s">
        <v>127</v>
      </c>
      <c r="C32" s="25">
        <v>4</v>
      </c>
      <c r="E32" s="28" t="s">
        <v>341</v>
      </c>
      <c r="F32" s="25">
        <v>6.3</v>
      </c>
    </row>
    <row r="33" spans="2:6" ht="15">
      <c r="B33" s="28" t="s">
        <v>64</v>
      </c>
      <c r="C33" s="25">
        <v>6.5</v>
      </c>
      <c r="E33" s="28" t="s">
        <v>86</v>
      </c>
      <c r="F33" s="25">
        <v>6.8</v>
      </c>
    </row>
    <row r="34" spans="2:6" ht="15">
      <c r="B34" s="28" t="s">
        <v>37</v>
      </c>
      <c r="C34" s="25">
        <v>0.5</v>
      </c>
      <c r="E34" s="28" t="s">
        <v>347</v>
      </c>
      <c r="F34" s="25">
        <v>1.25</v>
      </c>
    </row>
    <row r="35" spans="2:6" ht="15">
      <c r="B35" s="28" t="s">
        <v>50</v>
      </c>
      <c r="C35" s="25">
        <v>8.3000000000000007</v>
      </c>
      <c r="E35" s="28" t="s">
        <v>174</v>
      </c>
      <c r="F35" s="25">
        <v>2.25</v>
      </c>
    </row>
    <row r="36" spans="2:6" ht="15">
      <c r="B36" s="27" t="s">
        <v>167</v>
      </c>
      <c r="C36" s="25">
        <v>20</v>
      </c>
      <c r="E36" s="27" t="s">
        <v>120</v>
      </c>
      <c r="F36" s="25">
        <v>24.6</v>
      </c>
    </row>
    <row r="37" spans="2:6" ht="15">
      <c r="B37" s="28" t="s">
        <v>127</v>
      </c>
      <c r="C37" s="25">
        <v>5.5</v>
      </c>
      <c r="E37" s="28" t="s">
        <v>350</v>
      </c>
      <c r="F37" s="25">
        <v>5.5</v>
      </c>
    </row>
    <row r="38" spans="2:6" ht="15">
      <c r="B38" s="28" t="s">
        <v>37</v>
      </c>
      <c r="C38" s="25">
        <v>3</v>
      </c>
      <c r="E38" s="28" t="s">
        <v>341</v>
      </c>
      <c r="F38" s="25">
        <v>1.5</v>
      </c>
    </row>
    <row r="39" spans="2:6" ht="15">
      <c r="B39" s="28" t="s">
        <v>77</v>
      </c>
      <c r="C39" s="25">
        <v>0.5</v>
      </c>
      <c r="E39" s="28" t="s">
        <v>86</v>
      </c>
      <c r="F39" s="25">
        <v>12.450000000000003</v>
      </c>
    </row>
    <row r="40" spans="2:6" ht="15">
      <c r="B40" s="28" t="s">
        <v>50</v>
      </c>
      <c r="C40" s="25">
        <v>11</v>
      </c>
      <c r="E40" s="28" t="s">
        <v>347</v>
      </c>
      <c r="F40" s="25">
        <v>0.5</v>
      </c>
    </row>
    <row r="41" spans="2:6" ht="15">
      <c r="B41" s="27" t="s">
        <v>170</v>
      </c>
      <c r="C41" s="25">
        <v>0</v>
      </c>
      <c r="E41" s="28" t="s">
        <v>174</v>
      </c>
      <c r="F41" s="25">
        <v>4.6500000000000004</v>
      </c>
    </row>
    <row r="42" spans="2:6" ht="15">
      <c r="B42" s="28" t="s">
        <v>168</v>
      </c>
      <c r="C42" s="25">
        <v>0</v>
      </c>
      <c r="E42" s="27" t="s">
        <v>167</v>
      </c>
      <c r="F42" s="25">
        <v>50.2</v>
      </c>
    </row>
    <row r="43" spans="2:6" ht="15">
      <c r="B43" s="27" t="s">
        <v>239</v>
      </c>
      <c r="C43" s="25">
        <v>50.4</v>
      </c>
      <c r="E43" s="28" t="s">
        <v>350</v>
      </c>
      <c r="F43" s="25">
        <v>5</v>
      </c>
    </row>
    <row r="44" spans="2:6" ht="15">
      <c r="B44" s="28" t="s">
        <v>55</v>
      </c>
      <c r="C44" s="25">
        <v>2.7</v>
      </c>
      <c r="E44" s="28" t="s">
        <v>341</v>
      </c>
      <c r="F44" s="25">
        <v>8.5</v>
      </c>
    </row>
    <row r="45" spans="2:6" ht="15">
      <c r="B45" s="28" t="s">
        <v>127</v>
      </c>
      <c r="C45" s="25">
        <v>27</v>
      </c>
      <c r="E45" s="28" t="s">
        <v>86</v>
      </c>
      <c r="F45" s="25">
        <v>30.700000000000006</v>
      </c>
    </row>
    <row r="46" spans="2:6" ht="15">
      <c r="B46" s="28" t="s">
        <v>37</v>
      </c>
      <c r="C46" s="25">
        <v>3.95</v>
      </c>
      <c r="E46" s="28" t="s">
        <v>347</v>
      </c>
      <c r="F46" s="25">
        <v>0.5</v>
      </c>
    </row>
    <row r="47" spans="2:6" ht="15">
      <c r="B47" s="28" t="s">
        <v>77</v>
      </c>
      <c r="C47" s="25">
        <v>1</v>
      </c>
      <c r="E47" s="28" t="s">
        <v>174</v>
      </c>
      <c r="F47" s="25">
        <v>5.5</v>
      </c>
    </row>
    <row r="48" spans="2:6" ht="15">
      <c r="B48" s="28" t="s">
        <v>50</v>
      </c>
      <c r="C48" s="25">
        <v>15.75</v>
      </c>
      <c r="E48" s="27" t="s">
        <v>239</v>
      </c>
      <c r="F48" s="25">
        <v>43.55</v>
      </c>
    </row>
    <row r="49" spans="2:6" ht="15">
      <c r="B49" s="26" t="s">
        <v>7</v>
      </c>
      <c r="C49" s="25">
        <v>100.75</v>
      </c>
      <c r="E49" s="28">
        <v>0</v>
      </c>
      <c r="F49" s="25"/>
    </row>
    <row r="50" spans="2:6" ht="15">
      <c r="B50" s="27" t="s">
        <v>40</v>
      </c>
      <c r="C50" s="25">
        <v>7.5</v>
      </c>
      <c r="E50" s="28" t="s">
        <v>350</v>
      </c>
      <c r="F50" s="25">
        <v>1.9</v>
      </c>
    </row>
    <row r="51" spans="2:6" ht="15">
      <c r="B51" s="28" t="s">
        <v>37</v>
      </c>
      <c r="C51" s="25">
        <v>1</v>
      </c>
      <c r="E51" s="28" t="s">
        <v>341</v>
      </c>
      <c r="F51" s="25">
        <v>17.399999999999999</v>
      </c>
    </row>
    <row r="52" spans="2:6" ht="15">
      <c r="B52" s="28" t="s">
        <v>50</v>
      </c>
      <c r="C52" s="25">
        <v>6.5</v>
      </c>
      <c r="E52" s="28" t="s">
        <v>86</v>
      </c>
      <c r="F52" s="25">
        <v>9.25</v>
      </c>
    </row>
    <row r="53" spans="2:6" ht="15">
      <c r="B53" s="27" t="s">
        <v>120</v>
      </c>
      <c r="C53" s="25">
        <v>12.75</v>
      </c>
      <c r="E53" s="28" t="s">
        <v>347</v>
      </c>
      <c r="F53" s="25">
        <v>9.25</v>
      </c>
    </row>
    <row r="54" spans="2:6" ht="15">
      <c r="B54" s="28" t="s">
        <v>127</v>
      </c>
      <c r="C54" s="25">
        <v>3.5</v>
      </c>
      <c r="E54" s="28" t="s">
        <v>174</v>
      </c>
      <c r="F54" s="25">
        <v>5.75</v>
      </c>
    </row>
    <row r="55" spans="2:6" ht="15">
      <c r="B55" s="28" t="s">
        <v>50</v>
      </c>
      <c r="C55" s="25">
        <v>7</v>
      </c>
      <c r="E55" s="26" t="s">
        <v>5</v>
      </c>
      <c r="F55" s="25">
        <v>93.2</v>
      </c>
    </row>
    <row r="56" spans="2:6" ht="15">
      <c r="B56" s="28" t="s">
        <v>174</v>
      </c>
      <c r="C56" s="25">
        <v>2.25</v>
      </c>
      <c r="E56" s="27" t="s">
        <v>40</v>
      </c>
      <c r="F56" s="25">
        <v>3.5</v>
      </c>
    </row>
    <row r="57" spans="2:6" ht="15">
      <c r="B57" s="27" t="s">
        <v>167</v>
      </c>
      <c r="C57" s="25">
        <v>32</v>
      </c>
      <c r="E57" s="28" t="s">
        <v>341</v>
      </c>
      <c r="F57" s="25">
        <v>3</v>
      </c>
    </row>
    <row r="58" spans="2:6" ht="15">
      <c r="B58" s="28" t="s">
        <v>127</v>
      </c>
      <c r="C58" s="25">
        <v>15</v>
      </c>
      <c r="E58" s="28" t="s">
        <v>174</v>
      </c>
      <c r="F58" s="25">
        <v>0.5</v>
      </c>
    </row>
    <row r="59" spans="2:6" ht="15">
      <c r="B59" s="28" t="s">
        <v>37</v>
      </c>
      <c r="C59" s="25">
        <v>6</v>
      </c>
      <c r="E59" s="27" t="s">
        <v>120</v>
      </c>
      <c r="F59" s="25">
        <v>19.3</v>
      </c>
    </row>
    <row r="60" spans="2:6" ht="15">
      <c r="B60" s="28" t="s">
        <v>50</v>
      </c>
      <c r="C60" s="25">
        <v>11</v>
      </c>
      <c r="E60" s="28" t="s">
        <v>350</v>
      </c>
      <c r="F60" s="25">
        <v>6.5</v>
      </c>
    </row>
    <row r="61" spans="2:6" ht="15">
      <c r="B61" s="27" t="s">
        <v>239</v>
      </c>
      <c r="C61" s="25">
        <v>48.5</v>
      </c>
      <c r="E61" s="28" t="s">
        <v>341</v>
      </c>
      <c r="F61" s="25">
        <v>1</v>
      </c>
    </row>
    <row r="62" spans="2:6" ht="15">
      <c r="B62" s="28" t="s">
        <v>55</v>
      </c>
      <c r="C62" s="25">
        <v>0.5</v>
      </c>
      <c r="E62" s="28" t="s">
        <v>86</v>
      </c>
      <c r="F62" s="25">
        <v>4</v>
      </c>
    </row>
    <row r="63" spans="2:6" ht="15">
      <c r="B63" s="28" t="s">
        <v>127</v>
      </c>
      <c r="C63" s="25">
        <v>19</v>
      </c>
      <c r="E63" s="28" t="s">
        <v>347</v>
      </c>
      <c r="F63" s="25">
        <v>6.5</v>
      </c>
    </row>
    <row r="64" spans="2:6" ht="15">
      <c r="B64" s="28" t="s">
        <v>64</v>
      </c>
      <c r="C64" s="25">
        <v>4</v>
      </c>
      <c r="E64" s="28" t="s">
        <v>174</v>
      </c>
      <c r="F64" s="25">
        <v>1.3</v>
      </c>
    </row>
    <row r="65" spans="2:6" ht="15">
      <c r="B65" s="28" t="s">
        <v>37</v>
      </c>
      <c r="C65" s="25">
        <v>2.25</v>
      </c>
      <c r="E65" s="27" t="s">
        <v>167</v>
      </c>
      <c r="F65" s="25">
        <v>20</v>
      </c>
    </row>
    <row r="66" spans="2:6" ht="15">
      <c r="B66" s="28" t="s">
        <v>77</v>
      </c>
      <c r="C66" s="25">
        <v>2.5</v>
      </c>
      <c r="E66" s="28" t="s">
        <v>350</v>
      </c>
      <c r="F66" s="25">
        <v>5</v>
      </c>
    </row>
    <row r="67" spans="2:6" ht="15">
      <c r="B67" s="28" t="s">
        <v>50</v>
      </c>
      <c r="C67" s="25">
        <v>19.25</v>
      </c>
      <c r="E67" s="28" t="s">
        <v>341</v>
      </c>
      <c r="F67" s="25">
        <v>6</v>
      </c>
    </row>
    <row r="68" spans="2:6" ht="15">
      <c r="B68" s="28" t="s">
        <v>174</v>
      </c>
      <c r="C68" s="25">
        <v>1</v>
      </c>
      <c r="E68" s="28" t="s">
        <v>86</v>
      </c>
      <c r="F68" s="25">
        <v>6.5</v>
      </c>
    </row>
    <row r="69" spans="2:6" ht="15">
      <c r="B69" s="26" t="s">
        <v>9</v>
      </c>
      <c r="C69" s="25">
        <v>8.5</v>
      </c>
      <c r="E69" s="28" t="s">
        <v>174</v>
      </c>
      <c r="F69" s="25">
        <v>2.5</v>
      </c>
    </row>
    <row r="70" spans="2:6" ht="15">
      <c r="B70" s="27" t="s">
        <v>167</v>
      </c>
      <c r="C70" s="25">
        <v>8.5</v>
      </c>
      <c r="E70" s="27" t="s">
        <v>170</v>
      </c>
      <c r="F70" s="25">
        <v>0</v>
      </c>
    </row>
    <row r="71" spans="2:6" ht="15">
      <c r="B71" s="28" t="s">
        <v>127</v>
      </c>
      <c r="C71" s="25">
        <v>8.5</v>
      </c>
      <c r="E71" s="27" t="s">
        <v>239</v>
      </c>
      <c r="F71" s="25">
        <v>50.400000000000006</v>
      </c>
    </row>
    <row r="72" spans="2:6" ht="15">
      <c r="B72" s="26" t="s">
        <v>2</v>
      </c>
      <c r="C72" s="25">
        <v>139.70000000000002</v>
      </c>
      <c r="E72" s="28" t="s">
        <v>350</v>
      </c>
      <c r="F72" s="25">
        <v>5.95</v>
      </c>
    </row>
    <row r="73" spans="2:6" ht="15">
      <c r="B73" s="27" t="s">
        <v>40</v>
      </c>
      <c r="C73" s="25">
        <v>21.35</v>
      </c>
      <c r="E73" s="28" t="s">
        <v>341</v>
      </c>
      <c r="F73" s="25">
        <v>12.5</v>
      </c>
    </row>
    <row r="74" spans="2:6" ht="15">
      <c r="B74" s="28" t="s">
        <v>55</v>
      </c>
      <c r="C74" s="25">
        <v>5.35</v>
      </c>
      <c r="E74" s="28" t="s">
        <v>86</v>
      </c>
      <c r="F74" s="25">
        <v>28.700000000000003</v>
      </c>
    </row>
    <row r="75" spans="2:6" ht="15">
      <c r="B75" s="28" t="s">
        <v>64</v>
      </c>
      <c r="C75" s="25">
        <v>2.5</v>
      </c>
      <c r="E75" s="28" t="s">
        <v>174</v>
      </c>
      <c r="F75" s="25">
        <v>3.25</v>
      </c>
    </row>
    <row r="76" spans="2:6" ht="15">
      <c r="B76" s="28" t="s">
        <v>37</v>
      </c>
      <c r="C76" s="25">
        <v>2.25</v>
      </c>
      <c r="E76" s="26" t="s">
        <v>7</v>
      </c>
      <c r="F76" s="25">
        <v>100.75</v>
      </c>
    </row>
    <row r="77" spans="2:6" ht="15">
      <c r="B77" s="28" t="s">
        <v>77</v>
      </c>
      <c r="C77" s="25">
        <v>0.6</v>
      </c>
      <c r="E77" s="27" t="s">
        <v>40</v>
      </c>
      <c r="F77" s="25">
        <v>7.5</v>
      </c>
    </row>
    <row r="78" spans="2:6" ht="15">
      <c r="B78" s="28" t="s">
        <v>50</v>
      </c>
      <c r="C78" s="25">
        <v>10.65</v>
      </c>
      <c r="E78" s="28" t="s">
        <v>350</v>
      </c>
      <c r="F78" s="25">
        <v>1.5</v>
      </c>
    </row>
    <row r="79" spans="2:6" ht="15">
      <c r="B79" s="27" t="s">
        <v>120</v>
      </c>
      <c r="C79" s="25">
        <v>24.599999999999998</v>
      </c>
      <c r="E79" s="28" t="s">
        <v>86</v>
      </c>
      <c r="F79" s="25">
        <v>1.5</v>
      </c>
    </row>
    <row r="80" spans="2:6" ht="15">
      <c r="B80" s="28" t="s">
        <v>55</v>
      </c>
      <c r="C80" s="25">
        <v>3.8499999999999996</v>
      </c>
      <c r="E80" s="28" t="s">
        <v>174</v>
      </c>
      <c r="F80" s="25">
        <v>4.5</v>
      </c>
    </row>
    <row r="81" spans="2:6" ht="15">
      <c r="B81" s="28" t="s">
        <v>127</v>
      </c>
      <c r="C81" s="25">
        <v>6.5</v>
      </c>
      <c r="E81" s="27" t="s">
        <v>120</v>
      </c>
      <c r="F81" s="25">
        <v>12.75</v>
      </c>
    </row>
    <row r="82" spans="2:6" ht="15">
      <c r="B82" s="28" t="s">
        <v>64</v>
      </c>
      <c r="C82" s="25">
        <v>0.5</v>
      </c>
      <c r="E82" s="28" t="s">
        <v>350</v>
      </c>
      <c r="F82" s="25">
        <v>5</v>
      </c>
    </row>
    <row r="83" spans="2:6" ht="15">
      <c r="B83" s="28" t="s">
        <v>37</v>
      </c>
      <c r="C83" s="25">
        <v>1</v>
      </c>
      <c r="E83" s="28" t="s">
        <v>86</v>
      </c>
      <c r="F83" s="25">
        <v>5</v>
      </c>
    </row>
    <row r="84" spans="2:6" ht="15">
      <c r="B84" s="28" t="s">
        <v>77</v>
      </c>
      <c r="C84" s="25">
        <v>1.6</v>
      </c>
      <c r="E84" s="28" t="s">
        <v>174</v>
      </c>
      <c r="F84" s="25">
        <v>2.75</v>
      </c>
    </row>
    <row r="85" spans="2:6" ht="15">
      <c r="B85" s="28" t="s">
        <v>50</v>
      </c>
      <c r="C85" s="25">
        <v>11.149999999999999</v>
      </c>
      <c r="E85" s="27" t="s">
        <v>167</v>
      </c>
      <c r="F85" s="25">
        <v>32</v>
      </c>
    </row>
    <row r="86" spans="2:6" ht="15">
      <c r="B86" s="27" t="s">
        <v>167</v>
      </c>
      <c r="C86" s="25">
        <v>50.2</v>
      </c>
      <c r="E86" s="28" t="s">
        <v>350</v>
      </c>
      <c r="F86" s="25">
        <v>10</v>
      </c>
    </row>
    <row r="87" spans="2:6" ht="15">
      <c r="B87" s="28" t="s">
        <v>55</v>
      </c>
      <c r="C87" s="25">
        <v>6.7</v>
      </c>
      <c r="E87" s="28" t="s">
        <v>341</v>
      </c>
      <c r="F87" s="25">
        <v>6</v>
      </c>
    </row>
    <row r="88" spans="2:6" ht="15">
      <c r="B88" s="28" t="s">
        <v>127</v>
      </c>
      <c r="C88" s="25">
        <v>23</v>
      </c>
      <c r="E88" s="28" t="s">
        <v>86</v>
      </c>
      <c r="F88" s="25">
        <v>15</v>
      </c>
    </row>
    <row r="89" spans="2:6" ht="15">
      <c r="B89" s="28" t="s">
        <v>37</v>
      </c>
      <c r="C89" s="25">
        <v>3</v>
      </c>
      <c r="E89" s="28" t="s">
        <v>174</v>
      </c>
      <c r="F89" s="25">
        <v>1</v>
      </c>
    </row>
    <row r="90" spans="2:6" ht="15">
      <c r="B90" s="28" t="s">
        <v>77</v>
      </c>
      <c r="C90" s="25">
        <v>3</v>
      </c>
      <c r="E90" s="27" t="s">
        <v>239</v>
      </c>
      <c r="F90" s="25">
        <v>48.5</v>
      </c>
    </row>
    <row r="91" spans="2:6" ht="15">
      <c r="B91" s="28" t="s">
        <v>50</v>
      </c>
      <c r="C91" s="25">
        <v>14.5</v>
      </c>
      <c r="E91" s="28" t="s">
        <v>350</v>
      </c>
      <c r="F91" s="25">
        <v>4.25</v>
      </c>
    </row>
    <row r="92" spans="2:6" ht="15">
      <c r="B92" s="27" t="s">
        <v>239</v>
      </c>
      <c r="C92" s="25">
        <v>43.55</v>
      </c>
      <c r="E92" s="28" t="s">
        <v>341</v>
      </c>
      <c r="F92" s="25">
        <v>8.75</v>
      </c>
    </row>
    <row r="93" spans="2:6" ht="15">
      <c r="B93" s="28" t="s">
        <v>55</v>
      </c>
      <c r="C93" s="25">
        <v>12.899999999999999</v>
      </c>
      <c r="E93" s="28" t="s">
        <v>86</v>
      </c>
      <c r="F93" s="25">
        <v>29.75</v>
      </c>
    </row>
    <row r="94" spans="2:6" ht="15">
      <c r="B94" s="28" t="s">
        <v>127</v>
      </c>
      <c r="C94" s="25">
        <v>2</v>
      </c>
      <c r="E94" s="28" t="s">
        <v>347</v>
      </c>
      <c r="F94" s="25">
        <v>4.25</v>
      </c>
    </row>
    <row r="95" spans="2:6" ht="15">
      <c r="B95" s="28" t="s">
        <v>64</v>
      </c>
      <c r="C95" s="25">
        <v>6</v>
      </c>
      <c r="E95" s="28" t="s">
        <v>174</v>
      </c>
      <c r="F95" s="25">
        <v>1.5</v>
      </c>
    </row>
    <row r="96" spans="2:6" ht="15">
      <c r="B96" s="28" t="s">
        <v>365</v>
      </c>
      <c r="C96" s="25"/>
      <c r="E96" s="26" t="s">
        <v>9</v>
      </c>
      <c r="F96" s="25">
        <v>8.5</v>
      </c>
    </row>
    <row r="97" spans="2:6" ht="15">
      <c r="B97" s="28" t="s">
        <v>77</v>
      </c>
      <c r="C97" s="25">
        <v>5.0999999999999996</v>
      </c>
      <c r="E97" s="27" t="s">
        <v>167</v>
      </c>
      <c r="F97" s="25">
        <v>8.5</v>
      </c>
    </row>
    <row r="98" spans="2:6" ht="15">
      <c r="B98" s="28" t="s">
        <v>50</v>
      </c>
      <c r="C98" s="25">
        <v>17.55</v>
      </c>
      <c r="E98" s="28" t="s">
        <v>86</v>
      </c>
      <c r="F98" s="25">
        <v>8.5</v>
      </c>
    </row>
    <row r="99" spans="2:6" ht="15">
      <c r="B99" s="26" t="s">
        <v>366</v>
      </c>
      <c r="C99" s="25">
        <v>488.25</v>
      </c>
      <c r="E99" s="26" t="s">
        <v>366</v>
      </c>
      <c r="F99" s="25">
        <v>488.25000000000006</v>
      </c>
    </row>
    <row r="100" spans="2:6" ht="15">
      <c r="B100"/>
      <c r="C100"/>
      <c r="E100"/>
      <c r="F100"/>
    </row>
    <row r="101" spans="2:6" ht="15">
      <c r="E101"/>
      <c r="F101"/>
    </row>
    <row r="102" spans="2:6">
      <c r="E102"/>
      <c r="F102"/>
    </row>
    <row r="103" spans="2:6">
      <c r="E103"/>
      <c r="F103"/>
    </row>
    <row r="104" spans="2:6">
      <c r="E104"/>
      <c r="F104"/>
    </row>
    <row r="105" spans="2:6">
      <c r="E105"/>
      <c r="F105"/>
    </row>
    <row r="106" spans="2:6">
      <c r="E106"/>
      <c r="F106"/>
    </row>
    <row r="107" spans="2:6">
      <c r="E107"/>
      <c r="F107"/>
    </row>
    <row r="108" spans="2:6">
      <c r="E108"/>
      <c r="F108"/>
    </row>
    <row r="109" spans="2:6">
      <c r="E109"/>
      <c r="F109"/>
    </row>
    <row r="110" spans="2:6">
      <c r="E110"/>
      <c r="F110"/>
    </row>
    <row r="111" spans="2:6">
      <c r="E111"/>
      <c r="F111"/>
    </row>
    <row r="112" spans="2:6">
      <c r="E112"/>
      <c r="F112"/>
    </row>
    <row r="113" spans="5:6">
      <c r="E113"/>
      <c r="F113"/>
    </row>
    <row r="114" spans="5:6">
      <c r="E114"/>
      <c r="F114"/>
    </row>
    <row r="115" spans="5:6">
      <c r="E115"/>
      <c r="F115"/>
    </row>
    <row r="116" spans="5:6">
      <c r="E116"/>
      <c r="F116"/>
    </row>
    <row r="117" spans="5:6">
      <c r="E117"/>
      <c r="F117"/>
    </row>
    <row r="118" spans="5:6">
      <c r="E118"/>
      <c r="F118"/>
    </row>
    <row r="119" spans="5:6">
      <c r="E119"/>
      <c r="F119"/>
    </row>
    <row r="120" spans="5:6">
      <c r="E120"/>
      <c r="F120"/>
    </row>
    <row r="121" spans="5:6">
      <c r="E121"/>
      <c r="F121"/>
    </row>
    <row r="122" spans="5:6">
      <c r="E122"/>
      <c r="F122"/>
    </row>
    <row r="123" spans="5:6">
      <c r="E123"/>
      <c r="F123"/>
    </row>
    <row r="124" spans="5:6">
      <c r="E124"/>
      <c r="F124"/>
    </row>
    <row r="125" spans="5:6">
      <c r="E125"/>
      <c r="F125"/>
    </row>
    <row r="126" spans="5:6">
      <c r="E126"/>
      <c r="F126"/>
    </row>
    <row r="127" spans="5:6">
      <c r="E127"/>
      <c r="F127"/>
    </row>
    <row r="128" spans="5:6">
      <c r="E128"/>
      <c r="F128"/>
    </row>
    <row r="129" spans="5:6">
      <c r="E129"/>
      <c r="F129"/>
    </row>
    <row r="130" spans="5:6">
      <c r="E130"/>
      <c r="F130"/>
    </row>
    <row r="131" spans="5:6">
      <c r="E131"/>
      <c r="F131"/>
    </row>
    <row r="132" spans="5:6">
      <c r="E132"/>
      <c r="F132"/>
    </row>
    <row r="133" spans="5:6">
      <c r="E133"/>
      <c r="F133"/>
    </row>
    <row r="134" spans="5:6">
      <c r="E134"/>
      <c r="F134"/>
    </row>
    <row r="135" spans="5:6">
      <c r="E135"/>
      <c r="F135"/>
    </row>
    <row r="136" spans="5:6">
      <c r="E136"/>
      <c r="F136"/>
    </row>
    <row r="137" spans="5:6">
      <c r="E137"/>
      <c r="F137"/>
    </row>
    <row r="138" spans="5:6">
      <c r="E138"/>
      <c r="F13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f6111a-4acc-4f4d-a785-1ce5750b99c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4E694D7DD87B48B6C9144CF109DD7B" ma:contentTypeVersion="6" ma:contentTypeDescription="Create a new document." ma:contentTypeScope="" ma:versionID="97188e5f1206c5071cb8f612cba0f782">
  <xsd:schema xmlns:xsd="http://www.w3.org/2001/XMLSchema" xmlns:xs="http://www.w3.org/2001/XMLSchema" xmlns:p="http://schemas.microsoft.com/office/2006/metadata/properties" xmlns:ns3="72f6111a-4acc-4f4d-a785-1ce5750b99c1" targetNamespace="http://schemas.microsoft.com/office/2006/metadata/properties" ma:root="true" ma:fieldsID="5a3eb9529d3fbc0bafc0bb44ae43268f" ns3:_="">
    <xsd:import namespace="72f6111a-4acc-4f4d-a785-1ce5750b99c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f6111a-4acc-4f4d-a785-1ce5750b99c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5448D21-BE2A-4C03-A3D0-D98DDB439246}"/>
</file>

<file path=customXml/itemProps2.xml><?xml version="1.0" encoding="utf-8"?>
<ds:datastoreItem xmlns:ds="http://schemas.openxmlformats.org/officeDocument/2006/customXml" ds:itemID="{B88BAA02-92C8-46CC-880B-167BB75E4C44}"/>
</file>

<file path=customXml/itemProps3.xml><?xml version="1.0" encoding="utf-8"?>
<ds:datastoreItem xmlns:ds="http://schemas.openxmlformats.org/officeDocument/2006/customXml" ds:itemID="{63149FC9-D1C1-4AC7-94E6-85E462BF32F1}"/>
</file>

<file path=customXml/itemProps4.xml><?xml version="1.0" encoding="utf-8"?>
<ds:datastoreItem xmlns:ds="http://schemas.openxmlformats.org/officeDocument/2006/customXml" ds:itemID="{0900532D-E4D5-44D8-A984-285863B16AFE}"/>
</file>

<file path=docMetadata/LabelInfo.xml><?xml version="1.0" encoding="utf-8"?>
<clbl:labelList xmlns:clbl="http://schemas.microsoft.com/office/2020/mipLabelMetadata">
  <clbl:label id="{e36377b7-70c4-4493-a338-095918d327e9}" enabled="0" method="" siteId="{e36377b7-70c4-4493-a338-095918d327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Edward Popova (student)</cp:lastModifiedBy>
  <cp:revision/>
  <dcterms:created xsi:type="dcterms:W3CDTF">2025-10-16T08:07:07Z</dcterms:created>
  <dcterms:modified xsi:type="dcterms:W3CDTF">2025-12-19T17:48:58Z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0x010100A64E694D7DD87B48B6C9144CF109DD7B</vt:lpwstr>
  </property>
  <property fmtid="{D5CDD505-2E9C-101B-9397-08002B2CF9AE}" pid="3" name="MediaServiceImageTags">
    <vt:lpwstr/>
  </property>
</Properties>
</file>