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08441_student_windesheim_nl/Documents/"/>
    </mc:Choice>
  </mc:AlternateContent>
  <xr:revisionPtr revIDLastSave="271" documentId="8_{457C1D70-64FC-4E90-8B82-A9FD219DE9B0}" xr6:coauthVersionLast="47" xr6:coauthVersionMax="47" xr10:uidLastSave="{AB436EF7-02AB-4C47-BA65-90D506847DA0}"/>
  <bookViews>
    <workbookView xWindow="-108" yWindow="-108" windowWidth="23256" windowHeight="12456" tabRatio="768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27" i="1"/>
  <c r="I26" i="1"/>
  <c r="I24" i="1"/>
  <c r="I23" i="1"/>
  <c r="I22" i="1"/>
  <c r="I21" i="1"/>
  <c r="I18" i="1"/>
  <c r="I17" i="1"/>
  <c r="I20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<sst xmlns="http://schemas.openxmlformats.org/spreadsheetml/2006/main" count="434" uniqueCount="145">
  <si>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</si>
  <si>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</si>
  <si>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</si>
  <si>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</si>
  <si>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</si>
  <si>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</si>
  <si>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</si>
  <si>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</si>
  <si>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</si>
  <si>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</si>
  <si>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</si>
  <si>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</si>
  <si>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</si>
  <si>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</si>
  <si>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</si>
  <si>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</si>
  <si>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</si>
  <si>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</si>
  <si>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</si>
  <si>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</si>
  <si>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</si>
  <si>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</si>
  <si>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</si>
  <si>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</si>
  <si>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</si>
  <si>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</si>
  <si>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</si>
  <si>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</si>
  <si>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</si>
  <si>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</si>
  <si>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</si>
  <si>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</si>
  <si>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</si>
  <si>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</si>
  <si>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</si>
  <si>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</si>
  <si>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</si>
  <si>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</si>
  <si>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</si>
  <si>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</si>
  <si>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</si>
  <si>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</si>
  <si>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</si>
  <si>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</si>
  <si>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</si>
  <si>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</si>
  <si>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</si>
  <si>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</si>
  <si>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</si>
  <si>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</si>
  <si>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</si>
  <si>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</si>
  <si>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</si>
  <si>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</si>
  <si>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</si>
  <si>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</si>
  <si>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</si>
  <si>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</si>
  <si>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</si>
  <si>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</si>
  <si>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</si>
  <si>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</si>
  <si>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</si>
  <si>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</si>
  <si>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</si>
  <si>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</si>
  <si>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</si>
  <si>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</si>
  <si>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</si>
  <si>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</si>
  <si>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</si>
  <si>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</si>
  <si>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</si>
  <si>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Vaardigheid</t>
  </si>
  <si>
    <t>Testen in pipeline</t>
  </si>
  <si>
    <t>Inrichten .gitignore</t>
  </si>
  <si>
    <t>Mergen feature met PR</t>
  </si>
  <si>
    <t>Maken geversioneerde release</t>
  </si>
  <si>
    <t>Kiezen branchingstrategie</t>
  </si>
  <si>
    <t>Maken feature branch</t>
  </si>
  <si>
    <t>Opzetten testen in pipeline</t>
  </si>
  <si>
    <t>Doorvoeren PR naar dev</t>
  </si>
  <si>
    <t>Doorvoeren PR naar main</t>
  </si>
  <si>
    <t>Ontwerpen</t>
  </si>
  <si>
    <t>Gebruiken teststrategie</t>
  </si>
  <si>
    <t>Selecteren testsoort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</si>
  <si>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</si>
  <si>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</si>
  <si>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</si>
  <si>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</si>
  <si>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</si>
  <si>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Implementatieproces</t>
  </si>
  <si>
    <t>Structureer project</t>
  </si>
  <si>
    <t>Structureer code</t>
  </si>
  <si>
    <t>Toepassen taalconcepten</t>
  </si>
  <si>
    <t>Controleer aansluiting ontwerp</t>
  </si>
  <si>
    <t>Peerreviewen code</t>
  </si>
  <si>
    <t>Beredeneer keuze taalconcept</t>
  </si>
  <si>
    <t>Spoor fouten op</t>
  </si>
  <si>
    <t>Kies oplossing</t>
  </si>
  <si>
    <t>Voer oplossing door</t>
  </si>
  <si>
    <t>Toepassen modelleertechnieken</t>
  </si>
  <si>
    <t>Iteratief verfijnen ontwerp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</si>
  <si>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</si>
  <si>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</si>
  <si>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</si>
  <si>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</si>
  <si>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</si>
  <si>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</si>
  <si>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</si>
  <si>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</si>
  <si>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SCRUM-proces</t>
  </si>
  <si>
    <t>Aangeven grenzen</t>
  </si>
  <si>
    <t>Afstemmen op behoeften omgeving</t>
  </si>
  <si>
    <t>Opstellen productafspraken</t>
  </si>
  <si>
    <t>Vaststellen sprintdoel</t>
  </si>
  <si>
    <t>In kaart brengen afhankelijkheden</t>
  </si>
  <si>
    <t>Kiezen user stories</t>
  </si>
  <si>
    <t>Toevoegen taken aan user story</t>
  </si>
  <si>
    <t>Opstellen productbacklog</t>
  </si>
  <si>
    <t>Prioriteren productbacklog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</si>
  <si>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</si>
  <si>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</si>
  <si>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</si>
  <si>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</si>
  <si>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</si>
  <si>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Ondersteunen teamlid</t>
  </si>
  <si>
    <t>Werk presenteren</t>
  </si>
  <si>
    <t>Ophalen feedback</t>
  </si>
  <si>
    <t>Feedback verwerken</t>
  </si>
  <si>
    <t>Kiezen werkvorm</t>
  </si>
  <si>
    <t>Feedback geven</t>
  </si>
  <si>
    <t>Feedback ontvangen</t>
  </si>
  <si>
    <t>Noteren actiepunten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</si>
  <si>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</si>
  <si>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</si>
  <si>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</si>
  <si>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</si>
  <si>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</si>
  <si>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</si>
  <si>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^</t>
  </si>
  <si>
    <t>Feedback geven gebaseert op review</t>
  </si>
  <si>
    <t>Gitignore gemaakt en nagekeken</t>
  </si>
  <si>
    <t>Github flow</t>
  </si>
  <si>
    <t>Review alle documentatie van Edward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</si>
</sst>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53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2" fontId="7" fillId="0" borderId="0" xfId="0" applyNumberFormat="1" applyFont="1" applyAlignment="1">
      <alignment horizontal="right"/>
    </xf>
    <xf numFmtId="0" fontId="5" fillId="7" borderId="4" xfId="2" applyFont="1" applyFill="1" applyAlignment="1">
      <alignment horizontal="center"/>
    </xf>
    <xf numFmtId="0" fontId="14" fillId="10" borderId="0" xfId="0" applyFont="1" applyFill="1" applyBorder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 applyBorder="1"/>
    <xf numFmtId="0" fontId="7" fillId="0" borderId="0" xfId="0" applyFont="1" applyBorder="1"/>
    <xf numFmtId="0" fontId="7" fillId="0" borderId="0" xfId="0" applyFont="1" applyBorder="1" applyAlignment="1">
      <alignment wrapText="1"/>
    </xf>
    <xf numFmtId="14" fontId="7" fillId="0" borderId="0" xfId="0" applyNumberFormat="1" applyFont="1" applyBorder="1"/>
    <xf numFmtId="2" fontId="7" fillId="0" borderId="0" xfId="0" applyNumberFormat="1" applyFont="1" applyBorder="1"/>
    <xf numFmtId="0" fontId="7" fillId="4" borderId="0" xfId="0" applyFont="1" applyFill="1" applyBorder="1"/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ard Christiaan Popova" refreshedDate="45973.882010648151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Blank="1" count="10">
        <s v="Edward"/>
        <s v="Tim"/>
        <s v="Kai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9">
        <s v="Requirementsanalyseproces"/>
        <s v="Scrumproces"/>
        <s v="Beheerproces"/>
        <s v="Ontwerpproces"/>
        <s v="Testproces"/>
        <m/>
        <s v="Implementatieproces" u="1"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14">
      <sharedItems containsNonDate="0" containsDate="1" containsString="0" containsBlank="1" minDate="2025-10-11T00:00:00" maxDate="2025-11-13T00:00:00"/>
    </cacheField>
    <cacheField name="Uren" numFmtId="0">
      <sharedItems containsString="0" containsBlank="1" containsNumber="1" minValue="0.5" maxValue="3"/>
    </cacheField>
    <cacheField name="Sprint nr" numFmtId="0">
      <sharedItems containsBlank="1" containsMixedTypes="1" containsNumber="1" containsInteger="1" minValue="1" maxValue="9" count="8">
        <s v="Sprint 0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MixedTypes="1" containsNumber="1" containsInteger="1" minValue="0" maxValue="0" count="5">
        <s v="Analyseren"/>
        <s v="Manage &amp; Control"/>
        <s v="Realiseren"/>
        <s v="Ontwerpen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  <r>
    <x v="3"/>
    <x v="5"/>
    <m/>
    <m/>
    <m/>
    <m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18" firstHeaderRow="1" firstDataRow="1" firstDataCol="1"/>
  <pivotFields count="8">
    <pivotField axis="axisRow" showAll="0">
      <items count="11">
        <item h="1" m="1" x="4"/>
        <item h="1" m="1" x="6"/>
        <item h="1" m="1" x="5"/>
        <item h="1" x="3"/>
        <item h="1" m="1" x="8"/>
        <item h="1" m="1" x="9"/>
        <item h="1" m="1" x="7"/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9">
        <item m="1" x="2"/>
        <item m="1" x="3"/>
        <item m="1" x="4"/>
        <item m="1" x="5"/>
        <item m="1" x="6"/>
        <item m="1" x="7"/>
        <item x="1"/>
        <item x="0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</pivotFields>
  <rowFields count="3">
    <field x="0"/>
    <field x="6"/>
    <field x="7"/>
  </rowFields>
  <rowItems count="15">
    <i>
      <x v="7"/>
    </i>
    <i r="1">
      <x v="7"/>
    </i>
    <i r="2">
      <x v="1"/>
    </i>
    <i r="2">
      <x v="2"/>
    </i>
    <i r="2">
      <x v="3"/>
    </i>
    <i r="2">
      <x v="4"/>
    </i>
    <i>
      <x v="8"/>
    </i>
    <i r="1">
      <x v="7"/>
    </i>
    <i r="2">
      <x v="1"/>
    </i>
    <i r="2">
      <x v="2"/>
    </i>
    <i r="2">
      <x v="3"/>
    </i>
    <i>
      <x v="9"/>
    </i>
    <i r="1">
      <x v="7"/>
    </i>
    <i r="2">
      <x v="2"/>
    </i>
    <i t="grand">
      <x/>
    </i>
  </rowItems>
  <colItems count="1">
    <i/>
  </colItems>
  <dataFields count="1">
    <dataField name="Sum of Uren" fld="5" baseField="0" baseItem="0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20" firstHeaderRow="1" firstDataRow="1" firstDataCol="1"/>
  <pivotFields count="8">
    <pivotField axis="axisRow" showAll="0" sortType="ascending">
      <items count="11">
        <item x="0"/>
        <item h="1" m="1" x="8"/>
        <item h="1" m="1" x="4"/>
        <item x="2"/>
        <item h="1" m="1" x="6"/>
        <item h="1" m="1" x="5"/>
        <item h="1" m="1" x="9"/>
        <item x="1"/>
        <item m="1" x="7"/>
        <item x="3"/>
        <item t="default"/>
      </items>
    </pivotField>
    <pivotField axis="axisRow" showAll="0">
      <items count="10">
        <item x="2"/>
        <item m="1" x="6"/>
        <item x="3"/>
        <item x="0"/>
        <item x="5"/>
        <item x="4"/>
        <item m="1" x="8"/>
        <item m="1" x="7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m="1" x="2"/>
        <item m="1" x="4"/>
        <item m="1" x="5"/>
        <item m="1" x="6"/>
        <item m="1" x="7"/>
        <item x="1"/>
        <item m="1" x="3"/>
        <item x="0"/>
        <item t="default"/>
      </items>
    </pivotField>
    <pivotField showAll="0"/>
  </pivotFields>
  <rowFields count="3">
    <field x="0"/>
    <field x="6"/>
    <field x="1"/>
  </rowFields>
  <rowItems count="17">
    <i>
      <x/>
    </i>
    <i r="1">
      <x v="7"/>
    </i>
    <i r="2">
      <x v="2"/>
    </i>
    <i r="2">
      <x v="3"/>
    </i>
    <i r="2">
      <x v="5"/>
    </i>
    <i r="2">
      <x v="8"/>
    </i>
    <i>
      <x v="3"/>
    </i>
    <i r="1">
      <x v="7"/>
    </i>
    <i r="2">
      <x v="8"/>
    </i>
    <i>
      <x v="7"/>
    </i>
    <i r="1">
      <x v="7"/>
    </i>
    <i r="2">
      <x/>
    </i>
    <i r="2">
      <x v="8"/>
    </i>
    <i>
      <x v="9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14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13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12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11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0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sortState xmlns:xlrd2="http://schemas.microsoft.com/office/spreadsheetml/2017/richdata2" ref="B4:I95">
    <sortCondition ref="F3:F95"/>
  </sortState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43" t="s">
        <v>1</v>
      </c>
      <c r="C3" s="43"/>
      <c r="D3" s="43"/>
      <c r="E3" s="43"/>
      <c r="F3" s="43"/>
      <c r="G3" s="43"/>
      <c r="H3" s="43"/>
      <c r="I3" s="43"/>
      <c r="J3" s="43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zoomScale="88" workbookViewId="0">
      <selection activeCell="E28" sqref="E28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8.8" x14ac:dyDescent="0.3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 x14ac:dyDescent="0.3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 x14ac:dyDescent="0.3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 x14ac:dyDescent="0.3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 x14ac:dyDescent="0.3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 x14ac:dyDescent="0.3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 x14ac:dyDescent="0.3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 x14ac:dyDescent="0.3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 x14ac:dyDescent="0.3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 x14ac:dyDescent="0.3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8.8" x14ac:dyDescent="0.3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3.2" x14ac:dyDescent="0.3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 x14ac:dyDescent="0.3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42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 x14ac:dyDescent="0.3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 x14ac:dyDescent="0.3">
      <c r="B19" s="2" t="s">
        <v>2</v>
      </c>
      <c r="C19" s="2" t="s">
        <v>54</v>
      </c>
      <c r="D19" s="6" t="s">
        <v>75</v>
      </c>
      <c r="E19" s="6" t="s">
        <v>142</v>
      </c>
      <c r="F19" s="47">
        <v>45972</v>
      </c>
      <c r="G19" s="8">
        <v>0.5</v>
      </c>
      <c r="H19" s="48" t="s">
        <v>39</v>
      </c>
      <c r="I19" s="9" t="str">
        <f>_xlfn.XLOOKUP(Timeform[[#This Row],[Vaaridigheid]],Lijsten!C:C,Lijsten!A:A)</f>
        <v>Manage &amp; Control</v>
      </c>
    </row>
    <row r="20" spans="2:9" x14ac:dyDescent="0.3">
      <c r="B20" s="2" t="s">
        <v>2</v>
      </c>
      <c r="C20" s="2" t="s">
        <v>54</v>
      </c>
      <c r="D20" s="6" t="s">
        <v>78</v>
      </c>
      <c r="E20" s="6" t="s">
        <v>143</v>
      </c>
      <c r="F20" s="47">
        <v>45972</v>
      </c>
      <c r="G20" s="8">
        <v>0.25</v>
      </c>
      <c r="H20" s="48" t="s">
        <v>39</v>
      </c>
      <c r="I20" s="9" t="str">
        <f>_xlfn.XLOOKUP(Timeform[[#This Row],[Vaaridigheid]],Lijsten!C:C,Lijsten!A:A)</f>
        <v>Realiseren</v>
      </c>
    </row>
    <row r="21" spans="2:9" x14ac:dyDescent="0.3">
      <c r="B21" s="48" t="s">
        <v>3</v>
      </c>
      <c r="C21" s="48" t="s">
        <v>67</v>
      </c>
      <c r="D21" s="49" t="s">
        <v>68</v>
      </c>
      <c r="E21" s="49" t="s">
        <v>69</v>
      </c>
      <c r="F21" s="50">
        <v>45973</v>
      </c>
      <c r="G21" s="51">
        <v>1</v>
      </c>
      <c r="H21" s="48" t="s">
        <v>39</v>
      </c>
      <c r="I21" s="52" t="str">
        <f>_xlfn.XLOOKUP(Timeform[[#This Row],[Vaaridigheid]],Lijsten!C:C,Lijsten!A:A)</f>
        <v>Ontwerpen</v>
      </c>
    </row>
    <row r="22" spans="2:9" x14ac:dyDescent="0.3">
      <c r="B22" s="48" t="s">
        <v>3</v>
      </c>
      <c r="C22" s="48" t="s">
        <v>67</v>
      </c>
      <c r="D22" s="49" t="s">
        <v>70</v>
      </c>
      <c r="E22" s="49" t="s">
        <v>69</v>
      </c>
      <c r="F22" s="50">
        <v>45973</v>
      </c>
      <c r="G22" s="51">
        <v>1</v>
      </c>
      <c r="H22" s="48" t="s">
        <v>39</v>
      </c>
      <c r="I22" s="52" t="str">
        <f>_xlfn.XLOOKUP(Timeform[[#This Row],[Vaaridigheid]],Lijsten!C:C,Lijsten!A:A)</f>
        <v>Ontwerpen</v>
      </c>
    </row>
    <row r="23" spans="2:9" x14ac:dyDescent="0.3">
      <c r="B23" s="48" t="s">
        <v>3</v>
      </c>
      <c r="C23" s="45" t="s">
        <v>67</v>
      </c>
      <c r="D23" s="49" t="s">
        <v>71</v>
      </c>
      <c r="E23" s="49" t="s">
        <v>69</v>
      </c>
      <c r="F23" s="50">
        <v>45973</v>
      </c>
      <c r="G23" s="51">
        <v>0.5</v>
      </c>
      <c r="H23" s="48" t="s">
        <v>39</v>
      </c>
      <c r="I23" s="52" t="str">
        <f>_xlfn.XLOOKUP(Timeform[[#This Row],[Vaaridigheid]],Lijsten!C:C,Lijsten!A:A)</f>
        <v>Realiseren</v>
      </c>
    </row>
    <row r="24" spans="2:9" ht="28.8" x14ac:dyDescent="0.3">
      <c r="B24" s="48" t="s">
        <v>3</v>
      </c>
      <c r="C24" s="45" t="s">
        <v>67</v>
      </c>
      <c r="D24" s="49" t="s">
        <v>71</v>
      </c>
      <c r="E24" s="49" t="s">
        <v>72</v>
      </c>
      <c r="F24" s="50">
        <v>45973</v>
      </c>
      <c r="G24" s="51">
        <v>1</v>
      </c>
      <c r="H24" s="48" t="s">
        <v>39</v>
      </c>
      <c r="I24" s="52" t="str">
        <f>_xlfn.XLOOKUP(Timeform[[#This Row],[Vaaridigheid]],Lijsten!C:C,Lijsten!A:A)</f>
        <v>Realiseren</v>
      </c>
    </row>
    <row r="25" spans="2:9" x14ac:dyDescent="0.3">
      <c r="B25" s="48" t="s">
        <v>2</v>
      </c>
      <c r="C25" s="34" t="s">
        <v>50</v>
      </c>
      <c r="D25" s="49" t="s">
        <v>59</v>
      </c>
      <c r="E25" s="49" t="s">
        <v>144</v>
      </c>
      <c r="F25" s="50">
        <v>45974</v>
      </c>
      <c r="G25" s="51">
        <v>2</v>
      </c>
      <c r="H25" s="48" t="s">
        <v>39</v>
      </c>
      <c r="I25" s="52"/>
    </row>
    <row r="26" spans="2:9" x14ac:dyDescent="0.3">
      <c r="B26" s="48" t="s">
        <v>2</v>
      </c>
      <c r="C26" s="44" t="s">
        <v>50</v>
      </c>
      <c r="D26" s="49" t="s">
        <v>131</v>
      </c>
      <c r="E26" s="49" t="s">
        <v>141</v>
      </c>
      <c r="F26" s="46">
        <v>45974</v>
      </c>
      <c r="G26" s="51">
        <v>0.5</v>
      </c>
      <c r="H26" s="48" t="s">
        <v>39</v>
      </c>
      <c r="I26" s="52" t="str">
        <f>_xlfn.XLOOKUP(Timeform[[#This Row],[Vaaridigheid]],Lijsten!C:C,Lijsten!A:A)</f>
        <v>Adviseren</v>
      </c>
    </row>
    <row r="27" spans="2:9" x14ac:dyDescent="0.3">
      <c r="B27" s="48" t="s">
        <v>3</v>
      </c>
      <c r="C27" s="44" t="s">
        <v>50</v>
      </c>
      <c r="D27" s="49" t="s">
        <v>132</v>
      </c>
      <c r="E27" s="49" t="s">
        <v>140</v>
      </c>
      <c r="F27" s="46">
        <v>45974</v>
      </c>
      <c r="G27" s="51">
        <v>0.5</v>
      </c>
      <c r="H27" s="48" t="s">
        <v>39</v>
      </c>
      <c r="I27" s="52" t="str">
        <f>_xlfn.XLOOKUP(Timeform[[#This Row],[Vaaridigheid]],Lijsten!C:C,Lijsten!A:A)</f>
        <v>Adviseren</v>
      </c>
    </row>
    <row r="28" spans="2:9" x14ac:dyDescent="0.3">
      <c r="D28" s="6"/>
      <c r="E28" s="6"/>
      <c r="F28" s="7"/>
      <c r="G28" s="8"/>
      <c r="I28" s="9">
        <f>_xlfn.XLOOKUP(Timeform[[#This Row],[Vaaridigheid]],Lijsten!C:C,Lijsten!A:A)</f>
        <v>0</v>
      </c>
    </row>
    <row r="29" spans="2:9" x14ac:dyDescent="0.3">
      <c r="D29" s="6"/>
      <c r="E29" s="6"/>
      <c r="F29" s="7"/>
      <c r="G29" s="8"/>
      <c r="I29" s="9">
        <f>_xlfn.XLOOKUP(Timeform[[#This Row],[Vaaridigheid]],Lijsten!C:C,Lijsten!A:A)</f>
        <v>0</v>
      </c>
    </row>
    <row r="30" spans="2:9" x14ac:dyDescent="0.3">
      <c r="D30" s="6"/>
      <c r="E30" s="6"/>
      <c r="F30" s="7"/>
      <c r="G30" s="8"/>
      <c r="I30" s="9">
        <f>_xlfn.XLOOKUP(Timeform[[#This Row],[Vaaridigheid]],Lijsten!C:C,Lijsten!A:A)</f>
        <v>0</v>
      </c>
    </row>
    <row r="31" spans="2:9" x14ac:dyDescent="0.3">
      <c r="D31" s="6"/>
      <c r="E31" s="6"/>
      <c r="F31" s="7"/>
      <c r="G31" s="8"/>
      <c r="I31" s="9">
        <f>_xlfn.XLOOKUP(Timeform[[#This Row],[Vaaridigheid]],Lijsten!C:C,Lijsten!A:A)</f>
        <v>0</v>
      </c>
    </row>
    <row r="32" spans="2:9" x14ac:dyDescent="0.3">
      <c r="D32" s="6"/>
      <c r="E32" s="6"/>
      <c r="F32" s="7"/>
      <c r="G32" s="8"/>
      <c r="I32" s="9">
        <f>_xlfn.XLOOKUP(Timeform[[#This Row],[Vaaridigheid]],Lijsten!C:C,Lijsten!A:A)</f>
        <v>0</v>
      </c>
    </row>
    <row r="33" spans="4:9" x14ac:dyDescent="0.3">
      <c r="D33" s="6"/>
      <c r="E33" s="6"/>
      <c r="F33" s="7"/>
      <c r="G33" s="8"/>
      <c r="I33" s="9">
        <f>_xlfn.XLOOKUP(Timeform[[#This Row],[Vaaridigheid]],Lijsten!C:C,Lijsten!A:A)</f>
        <v>0</v>
      </c>
    </row>
    <row r="34" spans="4:9" x14ac:dyDescent="0.3">
      <c r="D34" s="6"/>
      <c r="E34" s="6"/>
      <c r="F34" s="7"/>
      <c r="G34" s="8"/>
      <c r="I34" s="9">
        <f>_xlfn.XLOOKUP(Timeform[[#This Row],[Vaaridigheid]],Lijsten!C:C,Lijsten!A:A)</f>
        <v>0</v>
      </c>
    </row>
    <row r="35" spans="4:9" x14ac:dyDescent="0.3">
      <c r="D35" s="6"/>
      <c r="E35" s="6"/>
      <c r="F35" s="7"/>
      <c r="G35" s="8"/>
      <c r="I35" s="9">
        <f>_xlfn.XLOOKUP(Timeform[[#This Row],[Vaaridigheid]],Lijsten!C:C,Lijsten!A:A)</f>
        <v>0</v>
      </c>
    </row>
    <row r="36" spans="4:9" x14ac:dyDescent="0.3">
      <c r="D36" s="6"/>
      <c r="E36" s="6"/>
      <c r="F36" s="7"/>
      <c r="G36" s="8"/>
      <c r="I36" s="9">
        <f>_xlfn.XLOOKUP(Timeform[[#This Row],[Vaaridigheid]],Lijsten!C:C,Lijsten!A:A)</f>
        <v>0</v>
      </c>
    </row>
    <row r="37" spans="4:9" x14ac:dyDescent="0.3">
      <c r="D37" s="6"/>
      <c r="E37" s="6"/>
      <c r="F37" s="7"/>
      <c r="G37" s="8"/>
      <c r="I37" s="9">
        <f>_xlfn.XLOOKUP(Timeform[[#This Row],[Vaaridigheid]],Lijsten!C:C,Lijsten!A:A)</f>
        <v>0</v>
      </c>
    </row>
    <row r="38" spans="4:9" x14ac:dyDescent="0.3">
      <c r="D38" s="6"/>
      <c r="E38" s="6"/>
      <c r="F38" s="7"/>
      <c r="G38" s="8"/>
      <c r="I38" s="9">
        <f>_xlfn.XLOOKUP(Timeform[[#This Row],[Vaaridigheid]],Lijsten!C:C,Lijsten!A:A)</f>
        <v>0</v>
      </c>
    </row>
    <row r="39" spans="4:9" x14ac:dyDescent="0.3">
      <c r="D39" s="6"/>
      <c r="E39" s="6"/>
      <c r="F39" s="7"/>
      <c r="G39" s="8"/>
      <c r="I39" s="9">
        <f>_xlfn.XLOOKUP(Timeform[[#This Row],[Vaaridigheid]],Lijsten!C:C,Lijsten!A:A)</f>
        <v>0</v>
      </c>
    </row>
    <row r="40" spans="4:9" x14ac:dyDescent="0.3">
      <c r="D40" s="6"/>
      <c r="E40" s="6"/>
      <c r="F40" s="7"/>
      <c r="G40" s="8"/>
      <c r="I40" s="9">
        <f>_xlfn.XLOOKUP(Timeform[[#This Row],[Vaaridigheid]],Lijsten!C:C,Lijsten!A:A)</f>
        <v>0</v>
      </c>
    </row>
    <row r="41" spans="4:9" x14ac:dyDescent="0.3">
      <c r="D41" s="6"/>
      <c r="E41" s="6"/>
      <c r="F41" s="7"/>
      <c r="G41" s="8"/>
      <c r="I41" s="9">
        <f>_xlfn.XLOOKUP(Timeform[[#This Row],[Vaaridigheid]],Lijsten!C:C,Lijsten!A:A)</f>
        <v>0</v>
      </c>
    </row>
    <row r="42" spans="4:9" x14ac:dyDescent="0.3">
      <c r="D42" s="6"/>
      <c r="E42" s="6"/>
      <c r="F42" s="7"/>
      <c r="G42" s="8"/>
      <c r="I42" s="9">
        <f>_xlfn.XLOOKUP(Timeform[[#This Row],[Vaaridigheid]],Lijsten!C:C,Lijsten!A:A)</f>
        <v>0</v>
      </c>
    </row>
    <row r="43" spans="4:9" x14ac:dyDescent="0.3">
      <c r="D43" s="6"/>
      <c r="E43" s="6"/>
      <c r="F43" s="7"/>
      <c r="G43" s="8"/>
      <c r="I43" s="9">
        <f>_xlfn.XLOOKUP(Timeform[[#This Row],[Vaaridigheid]],Lijsten!C:C,Lijsten!A:A)</f>
        <v>0</v>
      </c>
    </row>
    <row r="44" spans="4:9" x14ac:dyDescent="0.3">
      <c r="D44" s="6"/>
      <c r="E44" s="6"/>
      <c r="F44" s="7"/>
      <c r="G44" s="8"/>
      <c r="I44" s="9">
        <f>_xlfn.XLOOKUP(Timeform[[#This Row],[Vaaridigheid]],Lijsten!C:C,Lijsten!A:A)</f>
        <v>0</v>
      </c>
    </row>
    <row r="45" spans="4:9" x14ac:dyDescent="0.3">
      <c r="D45" s="6"/>
      <c r="E45" s="6"/>
      <c r="F45" s="7"/>
      <c r="G45" s="8"/>
      <c r="I45" s="9">
        <f>_xlfn.XLOOKUP(Timeform[[#This Row],[Vaaridigheid]],Lijsten!C:C,Lijsten!A:A)</f>
        <v>0</v>
      </c>
    </row>
    <row r="46" spans="4:9" x14ac:dyDescent="0.3">
      <c r="D46" s="6"/>
      <c r="E46" s="6"/>
      <c r="F46" s="7"/>
      <c r="G46" s="8"/>
      <c r="I46" s="9">
        <f>_xlfn.XLOOKUP(Timeform[[#This Row],[Vaaridigheid]],Lijsten!C:C,Lijsten!A:A)</f>
        <v>0</v>
      </c>
    </row>
    <row r="47" spans="4:9" x14ac:dyDescent="0.3">
      <c r="D47" s="6"/>
      <c r="E47" s="6"/>
      <c r="F47" s="7"/>
      <c r="G47" s="8"/>
      <c r="I47" s="9">
        <f>_xlfn.XLOOKUP(Timeform[[#This Row],[Vaaridigheid]],Lijsten!C:C,Lijsten!A:A)</f>
        <v>0</v>
      </c>
    </row>
    <row r="48" spans="4:9" x14ac:dyDescent="0.3">
      <c r="D48" s="6"/>
      <c r="E48" s="6"/>
      <c r="F48" s="7"/>
      <c r="G48" s="8"/>
      <c r="I48" s="9">
        <f>_xlfn.XLOOKUP(Timeform[[#This Row],[Vaaridigheid]],Lijsten!C:C,Lijsten!A:A)</f>
        <v>0</v>
      </c>
    </row>
    <row r="49" spans="4:9" x14ac:dyDescent="0.3">
      <c r="D49" s="6"/>
      <c r="E49" s="6"/>
      <c r="F49" s="7"/>
      <c r="G49" s="8"/>
      <c r="I49" s="9">
        <f>_xlfn.XLOOKUP(Timeform[[#This Row],[Vaaridigheid]],Lijsten!C:C,Lijsten!A:A)</f>
        <v>0</v>
      </c>
    </row>
    <row r="50" spans="4:9" x14ac:dyDescent="0.3">
      <c r="D50" s="6"/>
      <c r="E50" s="6"/>
      <c r="F50" s="7"/>
      <c r="G50" s="8"/>
      <c r="I50" s="9">
        <f>_xlfn.XLOOKUP(Timeform[[#This Row],[Vaaridigheid]],Lijsten!C:C,Lijsten!A:A)</f>
        <v>0</v>
      </c>
    </row>
    <row r="51" spans="4:9" x14ac:dyDescent="0.3">
      <c r="D51" s="6"/>
      <c r="E51" s="6"/>
      <c r="F51" s="7"/>
      <c r="G51" s="8"/>
      <c r="I51" s="9">
        <f>_xlfn.XLOOKUP(Timeform[[#This Row],[Vaaridigheid]],Lijsten!C:C,Lijsten!A:A)</f>
        <v>0</v>
      </c>
    </row>
    <row r="52" spans="4:9" x14ac:dyDescent="0.3">
      <c r="D52" s="6"/>
      <c r="E52" s="6"/>
      <c r="F52" s="7"/>
      <c r="G52" s="8"/>
      <c r="I52" s="9">
        <f>_xlfn.XLOOKUP(Timeform[[#This Row],[Vaaridigheid]],Lijsten!C:C,Lijsten!A:A)</f>
        <v>0</v>
      </c>
    </row>
    <row r="53" spans="4:9" x14ac:dyDescent="0.3">
      <c r="D53" s="6"/>
      <c r="E53" s="6"/>
      <c r="F53" s="7"/>
      <c r="G53" s="8"/>
      <c r="I53" s="9">
        <f>_xlfn.XLOOKUP(Timeform[[#This Row],[Vaaridigheid]],Lijsten!C:C,Lijsten!A:A)</f>
        <v>0</v>
      </c>
    </row>
    <row r="54" spans="4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4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4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4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4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4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4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4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4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4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4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70" workbookViewId="0">
      <selection activeCell="A18" sqref="A18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15" spans="1:7" x14ac:dyDescent="0.3">
      <c r="A15" s="10" t="s">
        <v>35</v>
      </c>
      <c r="B15" s="10" t="s">
        <v>29</v>
      </c>
      <c r="C15" s="10" t="s">
        <v>73</v>
      </c>
      <c r="G15" s="7"/>
    </row>
    <row r="16" spans="1:7" x14ac:dyDescent="0.3">
      <c r="A16" s="11" t="s">
        <v>53</v>
      </c>
      <c r="B16" s="11" t="s">
        <v>54</v>
      </c>
      <c r="C16" s="22" t="s">
        <v>55</v>
      </c>
    </row>
    <row r="17" spans="1:3" x14ac:dyDescent="0.3">
      <c r="A17" s="11" t="s">
        <v>53</v>
      </c>
      <c r="B17" s="11" t="s">
        <v>54</v>
      </c>
      <c r="C17" s="22" t="s">
        <v>74</v>
      </c>
    </row>
    <row r="18" spans="1:3" x14ac:dyDescent="0.3">
      <c r="A18" s="11" t="s">
        <v>53</v>
      </c>
      <c r="B18" s="11" t="s">
        <v>54</v>
      </c>
      <c r="C18" s="22" t="s">
        <v>75</v>
      </c>
    </row>
    <row r="19" spans="1:3" x14ac:dyDescent="0.3">
      <c r="A19" s="11" t="s">
        <v>61</v>
      </c>
      <c r="B19" s="11" t="s">
        <v>54</v>
      </c>
      <c r="C19" s="22" t="s">
        <v>76</v>
      </c>
    </row>
    <row r="20" spans="1:3" x14ac:dyDescent="0.3">
      <c r="A20" s="13" t="s">
        <v>61</v>
      </c>
      <c r="B20" s="13" t="s">
        <v>54</v>
      </c>
      <c r="C20" s="23" t="s">
        <v>77</v>
      </c>
    </row>
    <row r="21" spans="1:3" x14ac:dyDescent="0.3">
      <c r="A21" s="11" t="s">
        <v>61</v>
      </c>
      <c r="B21" s="11" t="s">
        <v>54</v>
      </c>
      <c r="C21" s="22" t="s">
        <v>78</v>
      </c>
    </row>
    <row r="22" spans="1:3" x14ac:dyDescent="0.3">
      <c r="A22" s="11" t="s">
        <v>61</v>
      </c>
      <c r="B22" s="11" t="s">
        <v>54</v>
      </c>
      <c r="C22" s="22" t="s">
        <v>79</v>
      </c>
    </row>
    <row r="23" spans="1:3" x14ac:dyDescent="0.3">
      <c r="A23" s="11" t="s">
        <v>61</v>
      </c>
      <c r="B23" s="11" t="s">
        <v>54</v>
      </c>
      <c r="C23" s="22" t="s">
        <v>80</v>
      </c>
    </row>
    <row r="24" spans="1:3" x14ac:dyDescent="0.3">
      <c r="A24" s="11" t="s">
        <v>61</v>
      </c>
      <c r="B24" s="11" t="s">
        <v>54</v>
      </c>
      <c r="C24" s="22" t="s">
        <v>81</v>
      </c>
    </row>
    <row r="25" spans="1:3" x14ac:dyDescent="0.3">
      <c r="A25" s="13" t="s">
        <v>61</v>
      </c>
      <c r="B25" s="13" t="s">
        <v>54</v>
      </c>
      <c r="C25" s="23" t="s">
        <v>82</v>
      </c>
    </row>
    <row r="26" spans="1:3" x14ac:dyDescent="0.3">
      <c r="A26" s="11" t="s">
        <v>83</v>
      </c>
      <c r="B26" s="11" t="s">
        <v>67</v>
      </c>
      <c r="C26" s="22" t="s">
        <v>84</v>
      </c>
    </row>
    <row r="27" spans="1:3" x14ac:dyDescent="0.3">
      <c r="A27" s="11" t="s">
        <v>83</v>
      </c>
      <c r="B27" s="11" t="s">
        <v>67</v>
      </c>
      <c r="C27" s="22" t="s">
        <v>68</v>
      </c>
    </row>
    <row r="28" spans="1:3" x14ac:dyDescent="0.3">
      <c r="A28" s="11" t="s">
        <v>83</v>
      </c>
      <c r="B28" s="11" t="s">
        <v>67</v>
      </c>
      <c r="C28" s="22" t="s">
        <v>70</v>
      </c>
    </row>
    <row r="29" spans="1:3" x14ac:dyDescent="0.3">
      <c r="A29" s="11" t="s">
        <v>83</v>
      </c>
      <c r="B29" s="11" t="s">
        <v>67</v>
      </c>
      <c r="C29" s="22" t="s">
        <v>85</v>
      </c>
    </row>
    <row r="30" spans="1:3" x14ac:dyDescent="0.3">
      <c r="A30" s="11" t="s">
        <v>61</v>
      </c>
      <c r="B30" s="11" t="s">
        <v>67</v>
      </c>
      <c r="C30" s="22" t="s">
        <v>71</v>
      </c>
    </row>
    <row r="31" spans="1:3" x14ac:dyDescent="0.3">
      <c r="A31" s="11" t="s">
        <v>61</v>
      </c>
      <c r="B31" s="11" t="s">
        <v>67</v>
      </c>
      <c r="C31" s="22" t="s">
        <v>86</v>
      </c>
    </row>
    <row r="32" spans="1:3" x14ac:dyDescent="0.3">
      <c r="A32" s="11" t="s">
        <v>61</v>
      </c>
      <c r="B32" s="11" t="s">
        <v>67</v>
      </c>
      <c r="C32" s="22" t="s">
        <v>87</v>
      </c>
    </row>
    <row r="33" spans="1:3" x14ac:dyDescent="0.3">
      <c r="A33" s="11" t="s">
        <v>61</v>
      </c>
      <c r="B33" s="11" t="s">
        <v>67</v>
      </c>
      <c r="C33" s="22" t="s">
        <v>88</v>
      </c>
    </row>
    <row r="34" spans="1:3" x14ac:dyDescent="0.3">
      <c r="A34" s="11" t="s">
        <v>89</v>
      </c>
      <c r="B34" s="11" t="s">
        <v>67</v>
      </c>
      <c r="C34" s="22" t="s">
        <v>90</v>
      </c>
    </row>
    <row r="35" spans="1:3" x14ac:dyDescent="0.3">
      <c r="A35" s="14" t="s">
        <v>89</v>
      </c>
      <c r="B35" s="13" t="s">
        <v>67</v>
      </c>
      <c r="C35" s="23" t="s">
        <v>90</v>
      </c>
    </row>
    <row r="36" spans="1:3" x14ac:dyDescent="0.3">
      <c r="A36" s="11" t="s">
        <v>61</v>
      </c>
      <c r="B36" s="11" t="s">
        <v>91</v>
      </c>
      <c r="C36" s="22" t="s">
        <v>92</v>
      </c>
    </row>
    <row r="37" spans="1:3" x14ac:dyDescent="0.3">
      <c r="A37" s="11" t="s">
        <v>61</v>
      </c>
      <c r="B37" s="11" t="s">
        <v>91</v>
      </c>
      <c r="C37" s="22" t="s">
        <v>93</v>
      </c>
    </row>
    <row r="38" spans="1:3" x14ac:dyDescent="0.3">
      <c r="A38" s="11" t="s">
        <v>61</v>
      </c>
      <c r="B38" s="11" t="s">
        <v>91</v>
      </c>
      <c r="C38" s="22" t="s">
        <v>94</v>
      </c>
    </row>
    <row r="39" spans="1:3" x14ac:dyDescent="0.3">
      <c r="A39" s="11" t="s">
        <v>61</v>
      </c>
      <c r="B39" s="11" t="s">
        <v>91</v>
      </c>
      <c r="C39" s="22" t="s">
        <v>95</v>
      </c>
    </row>
    <row r="40" spans="1:3" x14ac:dyDescent="0.3">
      <c r="A40" s="11" t="s">
        <v>61</v>
      </c>
      <c r="B40" s="11" t="s">
        <v>91</v>
      </c>
      <c r="C40" s="22" t="s">
        <v>96</v>
      </c>
    </row>
    <row r="41" spans="1:3" x14ac:dyDescent="0.3">
      <c r="A41" s="11" t="s">
        <v>61</v>
      </c>
      <c r="B41" s="11" t="s">
        <v>91</v>
      </c>
      <c r="C41" s="22" t="s">
        <v>97</v>
      </c>
    </row>
    <row r="42" spans="1:3" x14ac:dyDescent="0.3">
      <c r="A42" s="11" t="s">
        <v>61</v>
      </c>
      <c r="B42" s="11" t="s">
        <v>91</v>
      </c>
      <c r="C42" s="22" t="s">
        <v>98</v>
      </c>
    </row>
    <row r="43" spans="1:3" x14ac:dyDescent="0.3">
      <c r="A43" s="11" t="s">
        <v>61</v>
      </c>
      <c r="B43" s="11" t="s">
        <v>91</v>
      </c>
      <c r="C43" s="22" t="s">
        <v>99</v>
      </c>
    </row>
    <row r="44" spans="1:3" x14ac:dyDescent="0.3">
      <c r="A44" s="13" t="s">
        <v>61</v>
      </c>
      <c r="B44" s="13" t="s">
        <v>91</v>
      </c>
      <c r="C44" s="23" t="s">
        <v>100</v>
      </c>
    </row>
    <row r="45" spans="1:3" x14ac:dyDescent="0.3">
      <c r="A45" s="11" t="s">
        <v>83</v>
      </c>
      <c r="B45" s="11" t="s">
        <v>64</v>
      </c>
      <c r="C45" s="22" t="s">
        <v>65</v>
      </c>
    </row>
    <row r="46" spans="1:3" x14ac:dyDescent="0.3">
      <c r="A46" s="11" t="s">
        <v>83</v>
      </c>
      <c r="B46" s="11" t="s">
        <v>64</v>
      </c>
      <c r="C46" s="22" t="s">
        <v>101</v>
      </c>
    </row>
    <row r="47" spans="1:3" x14ac:dyDescent="0.3">
      <c r="A47" s="11" t="s">
        <v>83</v>
      </c>
      <c r="B47" s="11" t="s">
        <v>64</v>
      </c>
      <c r="C47" s="22" t="s">
        <v>102</v>
      </c>
    </row>
    <row r="48" spans="1:3" x14ac:dyDescent="0.3">
      <c r="A48" s="11" t="s">
        <v>83</v>
      </c>
      <c r="B48" s="11" t="s">
        <v>64</v>
      </c>
      <c r="C48" s="22" t="s">
        <v>103</v>
      </c>
    </row>
    <row r="49" spans="1:3" x14ac:dyDescent="0.3">
      <c r="A49" s="11" t="s">
        <v>83</v>
      </c>
      <c r="B49" s="11" t="s">
        <v>64</v>
      </c>
      <c r="C49" s="22" t="s">
        <v>104</v>
      </c>
    </row>
    <row r="50" spans="1:3" x14ac:dyDescent="0.3">
      <c r="A50" s="11" t="s">
        <v>83</v>
      </c>
      <c r="B50" s="11" t="s">
        <v>64</v>
      </c>
      <c r="C50" s="22" t="s">
        <v>105</v>
      </c>
    </row>
    <row r="51" spans="1:3" x14ac:dyDescent="0.3">
      <c r="A51" s="11" t="s">
        <v>89</v>
      </c>
      <c r="B51" s="11" t="s">
        <v>64</v>
      </c>
      <c r="C51" s="22" t="s">
        <v>106</v>
      </c>
    </row>
    <row r="52" spans="1:3" x14ac:dyDescent="0.3">
      <c r="A52" s="15" t="s">
        <v>89</v>
      </c>
      <c r="B52" s="13" t="s">
        <v>64</v>
      </c>
      <c r="C52" s="23" t="s">
        <v>107</v>
      </c>
    </row>
    <row r="53" spans="1:3" x14ac:dyDescent="0.3">
      <c r="A53" s="11" t="s">
        <v>40</v>
      </c>
      <c r="B53" s="11" t="s">
        <v>36</v>
      </c>
      <c r="C53" s="22" t="s">
        <v>48</v>
      </c>
    </row>
    <row r="54" spans="1:3" x14ac:dyDescent="0.3">
      <c r="A54" s="11" t="s">
        <v>40</v>
      </c>
      <c r="B54" s="11" t="s">
        <v>36</v>
      </c>
      <c r="C54" s="22" t="s">
        <v>37</v>
      </c>
    </row>
    <row r="55" spans="1:3" x14ac:dyDescent="0.3">
      <c r="A55" s="11" t="s">
        <v>40</v>
      </c>
      <c r="B55" s="11" t="s">
        <v>36</v>
      </c>
      <c r="C55" s="22" t="s">
        <v>41</v>
      </c>
    </row>
    <row r="56" spans="1:3" x14ac:dyDescent="0.3">
      <c r="A56" s="11" t="s">
        <v>40</v>
      </c>
      <c r="B56" s="11" t="s">
        <v>36</v>
      </c>
      <c r="C56" s="22" t="s">
        <v>43</v>
      </c>
    </row>
    <row r="57" spans="1:3" x14ac:dyDescent="0.3">
      <c r="A57" s="11" t="s">
        <v>40</v>
      </c>
      <c r="B57" s="11" t="s">
        <v>36</v>
      </c>
      <c r="C57" s="22" t="s">
        <v>108</v>
      </c>
    </row>
    <row r="58" spans="1:3" x14ac:dyDescent="0.3">
      <c r="A58" s="11" t="s">
        <v>40</v>
      </c>
      <c r="B58" s="11" t="s">
        <v>36</v>
      </c>
      <c r="C58" s="22" t="s">
        <v>45</v>
      </c>
    </row>
    <row r="59" spans="1:3" x14ac:dyDescent="0.3">
      <c r="A59" s="11" t="s">
        <v>40</v>
      </c>
      <c r="B59" s="11" t="s">
        <v>36</v>
      </c>
      <c r="C59" s="22" t="s">
        <v>109</v>
      </c>
    </row>
    <row r="60" spans="1:3" x14ac:dyDescent="0.3">
      <c r="A60" s="11" t="s">
        <v>40</v>
      </c>
      <c r="B60" s="11" t="s">
        <v>36</v>
      </c>
      <c r="C60" s="22" t="s">
        <v>46</v>
      </c>
    </row>
    <row r="61" spans="1:3" x14ac:dyDescent="0.3">
      <c r="A61" s="11" t="s">
        <v>40</v>
      </c>
      <c r="B61" s="11" t="s">
        <v>36</v>
      </c>
      <c r="C61" s="22" t="s">
        <v>47</v>
      </c>
    </row>
    <row r="62" spans="1:3" x14ac:dyDescent="0.3">
      <c r="A62" s="16" t="s">
        <v>89</v>
      </c>
      <c r="B62" s="11" t="s">
        <v>36</v>
      </c>
      <c r="C62" s="22" t="s">
        <v>110</v>
      </c>
    </row>
    <row r="63" spans="1:3" x14ac:dyDescent="0.3">
      <c r="A63" s="13" t="s">
        <v>53</v>
      </c>
      <c r="B63" s="13" t="s">
        <v>36</v>
      </c>
      <c r="C63" s="23" t="s">
        <v>62</v>
      </c>
    </row>
    <row r="64" spans="1:3" x14ac:dyDescent="0.3">
      <c r="A64" s="12" t="s">
        <v>53</v>
      </c>
      <c r="B64" s="17" t="s">
        <v>111</v>
      </c>
      <c r="C64" s="24" t="s">
        <v>51</v>
      </c>
    </row>
    <row r="65" spans="1:3" x14ac:dyDescent="0.3">
      <c r="A65" s="12" t="s">
        <v>53</v>
      </c>
      <c r="B65" s="17" t="s">
        <v>111</v>
      </c>
      <c r="C65" s="22" t="s">
        <v>112</v>
      </c>
    </row>
    <row r="66" spans="1:3" x14ac:dyDescent="0.3">
      <c r="A66" s="12" t="s">
        <v>53</v>
      </c>
      <c r="B66" s="17" t="s">
        <v>111</v>
      </c>
      <c r="C66" s="22" t="s">
        <v>113</v>
      </c>
    </row>
    <row r="67" spans="1:3" x14ac:dyDescent="0.3">
      <c r="A67" s="12" t="s">
        <v>40</v>
      </c>
      <c r="B67" s="17" t="s">
        <v>111</v>
      </c>
      <c r="C67" s="22" t="s">
        <v>114</v>
      </c>
    </row>
    <row r="68" spans="1:3" x14ac:dyDescent="0.3">
      <c r="A68" s="12" t="s">
        <v>40</v>
      </c>
      <c r="B68" s="17" t="s">
        <v>111</v>
      </c>
      <c r="C68" s="22" t="s">
        <v>115</v>
      </c>
    </row>
    <row r="69" spans="1:3" x14ac:dyDescent="0.3">
      <c r="A69" s="12" t="s">
        <v>40</v>
      </c>
      <c r="B69" s="17" t="s">
        <v>111</v>
      </c>
      <c r="C69" s="22" t="s">
        <v>57</v>
      </c>
    </row>
    <row r="70" spans="1:3" x14ac:dyDescent="0.3">
      <c r="A70" s="12" t="s">
        <v>40</v>
      </c>
      <c r="B70" s="17" t="s">
        <v>111</v>
      </c>
      <c r="C70" s="22" t="s">
        <v>116</v>
      </c>
    </row>
    <row r="71" spans="1:3" x14ac:dyDescent="0.3">
      <c r="A71" s="12" t="s">
        <v>40</v>
      </c>
      <c r="B71" s="17" t="s">
        <v>111</v>
      </c>
      <c r="C71" s="22" t="s">
        <v>117</v>
      </c>
    </row>
    <row r="72" spans="1:3" x14ac:dyDescent="0.3">
      <c r="A72" s="12" t="s">
        <v>40</v>
      </c>
      <c r="B72" s="17" t="s">
        <v>111</v>
      </c>
      <c r="C72" s="22" t="s">
        <v>118</v>
      </c>
    </row>
    <row r="73" spans="1:3" x14ac:dyDescent="0.3">
      <c r="A73" s="12" t="s">
        <v>40</v>
      </c>
      <c r="B73" s="17" t="s">
        <v>111</v>
      </c>
      <c r="C73" s="22" t="s">
        <v>119</v>
      </c>
    </row>
    <row r="74" spans="1:3" x14ac:dyDescent="0.3">
      <c r="A74" s="12" t="s">
        <v>40</v>
      </c>
      <c r="B74" s="17" t="s">
        <v>111</v>
      </c>
      <c r="C74" s="22" t="s">
        <v>120</v>
      </c>
    </row>
    <row r="75" spans="1:3" x14ac:dyDescent="0.3">
      <c r="A75" s="12" t="s">
        <v>61</v>
      </c>
      <c r="B75" s="17" t="s">
        <v>111</v>
      </c>
      <c r="C75" s="22" t="s">
        <v>121</v>
      </c>
    </row>
    <row r="76" spans="1:3" x14ac:dyDescent="0.3">
      <c r="A76" s="12" t="s">
        <v>61</v>
      </c>
      <c r="B76" s="17" t="s">
        <v>111</v>
      </c>
      <c r="C76" s="22" t="s">
        <v>122</v>
      </c>
    </row>
    <row r="77" spans="1:3" x14ac:dyDescent="0.3">
      <c r="A77" s="12" t="s">
        <v>61</v>
      </c>
      <c r="B77" s="17" t="s">
        <v>111</v>
      </c>
      <c r="C77" s="22" t="s">
        <v>123</v>
      </c>
    </row>
    <row r="78" spans="1:3" x14ac:dyDescent="0.3">
      <c r="A78" s="12" t="s">
        <v>61</v>
      </c>
      <c r="B78" s="17" t="s">
        <v>111</v>
      </c>
      <c r="C78" s="22" t="s">
        <v>124</v>
      </c>
    </row>
    <row r="79" spans="1:3" x14ac:dyDescent="0.3">
      <c r="A79" s="12" t="s">
        <v>61</v>
      </c>
      <c r="B79" s="17" t="s">
        <v>111</v>
      </c>
      <c r="C79" s="22" t="s">
        <v>125</v>
      </c>
    </row>
    <row r="80" spans="1:3" x14ac:dyDescent="0.3">
      <c r="A80" s="12" t="s">
        <v>61</v>
      </c>
      <c r="B80" s="17" t="s">
        <v>111</v>
      </c>
      <c r="C80" s="22" t="s">
        <v>59</v>
      </c>
    </row>
    <row r="81" spans="1:3" x14ac:dyDescent="0.3">
      <c r="A81" s="12" t="s">
        <v>89</v>
      </c>
      <c r="B81" s="17" t="s">
        <v>111</v>
      </c>
      <c r="C81" s="22" t="s">
        <v>126</v>
      </c>
    </row>
    <row r="82" spans="1:3" x14ac:dyDescent="0.3">
      <c r="A82" s="12" t="s">
        <v>89</v>
      </c>
      <c r="B82" s="17" t="s">
        <v>111</v>
      </c>
      <c r="C82" s="22" t="s">
        <v>127</v>
      </c>
    </row>
    <row r="83" spans="1:3" x14ac:dyDescent="0.3">
      <c r="A83" s="12" t="s">
        <v>89</v>
      </c>
      <c r="B83" s="17" t="s">
        <v>111</v>
      </c>
      <c r="C83" s="22" t="s">
        <v>128</v>
      </c>
    </row>
    <row r="84" spans="1:3" x14ac:dyDescent="0.3">
      <c r="A84" s="12" t="s">
        <v>89</v>
      </c>
      <c r="B84" s="17" t="s">
        <v>111</v>
      </c>
      <c r="C84" s="22" t="s">
        <v>129</v>
      </c>
    </row>
    <row r="85" spans="1:3" x14ac:dyDescent="0.3">
      <c r="A85" s="12" t="s">
        <v>89</v>
      </c>
      <c r="B85" s="17" t="s">
        <v>111</v>
      </c>
      <c r="C85" s="22" t="s">
        <v>130</v>
      </c>
    </row>
    <row r="86" spans="1:3" x14ac:dyDescent="0.3">
      <c r="A86" s="12" t="s">
        <v>89</v>
      </c>
      <c r="B86" s="17" t="s">
        <v>111</v>
      </c>
      <c r="C86" s="22" t="s">
        <v>131</v>
      </c>
    </row>
    <row r="87" spans="1:3" x14ac:dyDescent="0.3">
      <c r="A87" s="12" t="s">
        <v>89</v>
      </c>
      <c r="B87" s="17" t="s">
        <v>111</v>
      </c>
      <c r="C87" s="22" t="s">
        <v>132</v>
      </c>
    </row>
    <row r="88" spans="1:3" x14ac:dyDescent="0.3">
      <c r="A88" s="12" t="s">
        <v>89</v>
      </c>
      <c r="B88" s="17" t="s">
        <v>111</v>
      </c>
      <c r="C88" s="22" t="s">
        <v>133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25"/>
  <sheetViews>
    <sheetView topLeftCell="A16" workbookViewId="0">
      <selection activeCell="J6" sqref="J6"/>
    </sheetView>
  </sheetViews>
  <sheetFormatPr defaultColWidth="8.88671875" defaultRowHeight="14.4" x14ac:dyDescent="0.3"/>
  <cols>
    <col min="1" max="1" width="8.88671875" style="2"/>
    <col min="2" max="2" width="31.109375" style="2" bestFit="1" customWidth="1"/>
    <col min="3" max="3" width="11.88671875" style="2" bestFit="1" customWidth="1"/>
    <col min="4" max="4" width="15.5546875" style="2" bestFit="1" customWidth="1"/>
    <col min="5" max="5" width="21.44140625" style="2" bestFit="1" customWidth="1"/>
    <col min="6" max="6" width="11.886718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134</v>
      </c>
      <c r="E2" s="2" t="s">
        <v>135</v>
      </c>
    </row>
    <row r="3" spans="2:6" x14ac:dyDescent="0.3">
      <c r="B3" s="25" t="s">
        <v>136</v>
      </c>
      <c r="C3" s="26" t="s">
        <v>137</v>
      </c>
      <c r="E3" s="25" t="s">
        <v>136</v>
      </c>
      <c r="F3" s="26" t="s">
        <v>137</v>
      </c>
    </row>
    <row r="4" spans="2:6" x14ac:dyDescent="0.3">
      <c r="B4" s="27" t="s">
        <v>3</v>
      </c>
      <c r="C4" s="26">
        <v>16</v>
      </c>
      <c r="E4" s="27" t="s">
        <v>3</v>
      </c>
      <c r="F4" s="26">
        <v>16</v>
      </c>
    </row>
    <row r="5" spans="2:6" x14ac:dyDescent="0.3">
      <c r="B5" s="28" t="s">
        <v>39</v>
      </c>
      <c r="C5" s="26">
        <v>16</v>
      </c>
      <c r="E5" s="28" t="s">
        <v>39</v>
      </c>
      <c r="F5" s="26">
        <v>16</v>
      </c>
    </row>
    <row r="6" spans="2:6" x14ac:dyDescent="0.3">
      <c r="B6" s="29" t="s">
        <v>64</v>
      </c>
      <c r="C6" s="26">
        <v>2</v>
      </c>
      <c r="E6" s="29" t="s">
        <v>40</v>
      </c>
      <c r="F6" s="26">
        <v>5.5</v>
      </c>
    </row>
    <row r="7" spans="2:6" x14ac:dyDescent="0.3">
      <c r="B7" s="29" t="s">
        <v>36</v>
      </c>
      <c r="C7" s="26">
        <v>7.5</v>
      </c>
      <c r="E7" s="29" t="s">
        <v>53</v>
      </c>
      <c r="F7" s="26">
        <v>5</v>
      </c>
    </row>
    <row r="8" spans="2:6" x14ac:dyDescent="0.3">
      <c r="B8" s="29" t="s">
        <v>67</v>
      </c>
      <c r="C8" s="26">
        <v>3.5</v>
      </c>
      <c r="E8" s="29" t="s">
        <v>61</v>
      </c>
      <c r="F8" s="26">
        <v>1.5</v>
      </c>
    </row>
    <row r="9" spans="2:6" x14ac:dyDescent="0.3">
      <c r="B9" s="29" t="s">
        <v>50</v>
      </c>
      <c r="C9" s="26">
        <v>3</v>
      </c>
      <c r="E9" s="29" t="s">
        <v>83</v>
      </c>
      <c r="F9" s="26">
        <v>4</v>
      </c>
    </row>
    <row r="10" spans="2:6" x14ac:dyDescent="0.3">
      <c r="B10" s="27" t="s">
        <v>5</v>
      </c>
      <c r="C10" s="26">
        <v>3</v>
      </c>
      <c r="E10" s="27" t="s">
        <v>2</v>
      </c>
      <c r="F10" s="26">
        <v>5.75</v>
      </c>
    </row>
    <row r="11" spans="2:6" x14ac:dyDescent="0.3">
      <c r="B11" s="28" t="s">
        <v>39</v>
      </c>
      <c r="C11" s="26">
        <v>3</v>
      </c>
      <c r="E11" s="28" t="s">
        <v>39</v>
      </c>
      <c r="F11" s="26">
        <v>5.75</v>
      </c>
    </row>
    <row r="12" spans="2:6" x14ac:dyDescent="0.3">
      <c r="B12" s="29" t="s">
        <v>50</v>
      </c>
      <c r="C12" s="26">
        <v>3</v>
      </c>
      <c r="E12" s="29" t="s">
        <v>40</v>
      </c>
      <c r="F12" s="26">
        <v>1</v>
      </c>
    </row>
    <row r="13" spans="2:6" x14ac:dyDescent="0.3">
      <c r="B13" s="27" t="s">
        <v>2</v>
      </c>
      <c r="C13" s="26">
        <v>5.75</v>
      </c>
      <c r="E13" s="29" t="s">
        <v>53</v>
      </c>
      <c r="F13" s="26">
        <v>4</v>
      </c>
    </row>
    <row r="14" spans="2:6" x14ac:dyDescent="0.3">
      <c r="B14" s="28" t="s">
        <v>39</v>
      </c>
      <c r="C14" s="26">
        <v>5.75</v>
      </c>
      <c r="E14" s="29" t="s">
        <v>61</v>
      </c>
      <c r="F14" s="26">
        <v>0.75</v>
      </c>
    </row>
    <row r="15" spans="2:6" x14ac:dyDescent="0.3">
      <c r="B15" s="29" t="s">
        <v>54</v>
      </c>
      <c r="C15" s="26">
        <v>1</v>
      </c>
      <c r="E15" s="27" t="s">
        <v>5</v>
      </c>
      <c r="F15" s="26">
        <v>3</v>
      </c>
    </row>
    <row r="16" spans="2:6" x14ac:dyDescent="0.3">
      <c r="B16" s="29" t="s">
        <v>50</v>
      </c>
      <c r="C16" s="26">
        <v>4.75</v>
      </c>
      <c r="E16" s="28" t="s">
        <v>39</v>
      </c>
      <c r="F16" s="26">
        <v>3</v>
      </c>
    </row>
    <row r="17" spans="2:6" x14ac:dyDescent="0.3">
      <c r="B17" s="27" t="s">
        <v>138</v>
      </c>
      <c r="C17" s="26"/>
      <c r="E17" s="29" t="s">
        <v>53</v>
      </c>
      <c r="F17" s="26">
        <v>3</v>
      </c>
    </row>
    <row r="18" spans="2:6" x14ac:dyDescent="0.3">
      <c r="B18" s="28" t="s">
        <v>138</v>
      </c>
      <c r="C18" s="26"/>
      <c r="E18" s="27" t="s">
        <v>139</v>
      </c>
      <c r="F18" s="26">
        <v>24.75</v>
      </c>
    </row>
    <row r="19" spans="2:6" x14ac:dyDescent="0.3">
      <c r="B19" s="29" t="s">
        <v>138</v>
      </c>
      <c r="C19" s="26"/>
      <c r="E19"/>
      <c r="F19"/>
    </row>
    <row r="20" spans="2:6" x14ac:dyDescent="0.3">
      <c r="B20" s="27" t="s">
        <v>139</v>
      </c>
      <c r="C20" s="26">
        <v>24.75</v>
      </c>
      <c r="E20"/>
      <c r="F20"/>
    </row>
    <row r="21" spans="2:6" x14ac:dyDescent="0.3">
      <c r="B21"/>
      <c r="C21"/>
      <c r="E21"/>
      <c r="F21"/>
    </row>
    <row r="22" spans="2:6" x14ac:dyDescent="0.3">
      <c r="B22"/>
      <c r="C22"/>
      <c r="E22"/>
      <c r="F22"/>
    </row>
    <row r="23" spans="2:6" x14ac:dyDescent="0.3">
      <c r="B23"/>
      <c r="C23"/>
      <c r="E23"/>
      <c r="F23"/>
    </row>
    <row r="24" spans="2:6" x14ac:dyDescent="0.3">
      <c r="B24"/>
      <c r="C24"/>
    </row>
    <row r="25" spans="2:6" x14ac:dyDescent="0.3">
      <c r="B25"/>
      <c r="C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88BAA02-92C8-46CC-880B-167BB75E4C44}">
  <ds:schemaRefs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72f6111a-4acc-4f4d-a785-1ce5750b99c1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2025-11-13T12:48:27Z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