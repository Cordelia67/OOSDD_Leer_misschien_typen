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18918_student_windesheim_nl/Documents/jaar 2 deel 2/documentatie &amp; samenwerking/samenwerking/"/>
    </mc:Choice>
  </mc:AlternateContent>
  <xr:revisionPtr revIDLastSave="578" documentId="8_{457C1D70-64FC-4E90-8B82-A9FD219DE9B0}" xr6:coauthVersionLast="47" xr6:coauthVersionMax="47" xr10:uidLastSave="{14D4C7B9-20C6-4043-9570-0E66B8141CE5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5947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19" i="1"/>
  <c r="I29" i="1"/>
  <c r="I28" i="1"/>
  <c r="I26" i="1"/>
  <c r="I25" i="1"/>
  <c r="I24" i="1"/>
  <c r="I23" i="1"/>
  <c r="I18" i="1"/>
  <c r="I17" i="1"/>
  <c r="I20" i="1"/>
  <c r="I30" i="1"/>
  <c r="I21" i="1"/>
  <c r="I22" i="1"/>
  <c r="I32" i="1"/>
  <c r="I33" i="1"/>
  <c r="I34" i="1"/>
  <c r="I35" i="1"/>
  <c r="I36" i="1"/>
  <c r="I38" i="1"/>
  <c r="I40" i="1"/>
  <c r="I41" i="1"/>
  <c r="I42" i="1"/>
  <c r="I43" i="1"/>
  <c r="I44" i="1"/>
  <c r="I45" i="1"/>
  <c r="I46" i="1"/>
  <c r="I37" i="1"/>
  <c r="I47" i="1"/>
  <c r="I39" i="1"/>
  <c r="I48" i="1"/>
  <c r="I51" i="1"/>
  <c r="I52" i="1"/>
  <c r="I49" i="1"/>
  <c r="I53" i="1"/>
  <c r="I50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"/>
        </x15:connection>
      </ext>
    </extLst>
  </connection>
</connections>
</file>

<file path=xl/sharedStrings.xml><?xml version="1.0" encoding="utf-8"?>
<sst xmlns="http://schemas.openxmlformats.org/spreadsheetml/2006/main" count="627" uniqueCount="175">
  <si>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</si>
  <si>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</si>
  <si>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</si>
  <si>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</si>
  <si>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</si>
  <si>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</si>
  <si>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</si>
  <si>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</si>
  <si>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</si>
  <si>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</si>
  <si>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</si>
  <si>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</si>
  <si>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</si>
  <si>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</si>
  <si>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</si>
  <si>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</si>
  <si>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</si>
  <si>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</si>
  <si>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</si>
  <si>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</si>
  <si>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</si>
  <si>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</si>
  <si>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</si>
  <si>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</si>
  <si>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</si>
  <si>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</si>
  <si>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</si>
  <si>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</si>
  <si>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</si>
  <si>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</si>
  <si>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</si>
  <si>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</si>
  <si>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</si>
  <si>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</si>
  <si>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</si>
  <si>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</si>
  <si>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</si>
  <si>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</si>
  <si>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</si>
  <si>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</si>
  <si>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</si>
  <si>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</si>
  <si>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</si>
  <si>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</si>
  <si>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</si>
  <si>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</si>
  <si>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</si>
  <si>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</si>
  <si>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</si>
  <si>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</si>
  <si>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</si>
  <si>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</si>
  <si>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</si>
  <si>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</si>
  <si>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</si>
  <si>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</si>
  <si>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</si>
  <si>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</si>
  <si>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</si>
  <si>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</si>
  <si>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</si>
  <si>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</si>
  <si>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</si>
  <si>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</si>
  <si>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</si>
  <si>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</si>
  <si>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</si>
  <si>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Inrichten .gitignore</t>
  </si>
  <si>
    <t>Gitignore gemaakt en nagekeken</t>
  </si>
  <si>
    <t>Kiezen branchingstrategie</t>
  </si>
  <si>
    <t>Github flow</t>
  </si>
  <si>
    <t>Reviewen Edwards werk</t>
  </si>
  <si>
    <t>Bestuderen opdracht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</si>
  <si>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</si>
  <si>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</si>
  <si>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</si>
  <si>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</si>
  <si>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</si>
  <si>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</si>
  <si>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Review alle documentatie van Edward</t>
  </si>
  <si>
    <t>Feedback geven</t>
  </si>
  <si>
    <t>Feedback geven gebaseert op review</t>
  </si>
  <si>
    <t>Feedback ontvangen</t>
  </si>
  <si>
    <t>Review en discussie mbt Feedback team</t>
  </si>
  <si>
    <t>Aanpassen en verrijken van het Functioneel ontwerp</t>
  </si>
  <si>
    <t>Noteren actiepunten</t>
  </si>
  <si>
    <t>Notities opstellen in de requirement analyse</t>
  </si>
  <si>
    <t>Reviewen van alle documenten</t>
  </si>
  <si>
    <t>Feedback verwerken</t>
  </si>
  <si>
    <t xml:space="preserve">Opstellen van het Projectdocument </t>
  </si>
  <si>
    <t>Prioriteren productbacklog</t>
  </si>
  <si>
    <t>Prioriteiten aanpassen</t>
  </si>
  <si>
    <t>Review projectdocument</t>
  </si>
  <si>
    <t>Maken geversioneerde release</t>
  </si>
  <si>
    <t>Documenten klaarzetten voor release sprint 0</t>
  </si>
  <si>
    <t>Review Sprint 0 aan teamleden</t>
  </si>
  <si>
    <t>Werk presenteren</t>
  </si>
  <si>
    <t>Opstellen van een demo-presentatie</t>
  </si>
  <si>
    <t>Presentatie en retrospectief</t>
  </si>
  <si>
    <t>Opstellen productbacklog</t>
  </si>
  <si>
    <t>Workshop gevolgd</t>
  </si>
  <si>
    <t>Sprint 1</t>
  </si>
  <si>
    <t>Vaststellen sprintdoel</t>
  </si>
  <si>
    <t>Trello opgezet met taken</t>
  </si>
  <si>
    <t>Implementatieproces</t>
  </si>
  <si>
    <t>Structureer code</t>
  </si>
  <si>
    <t>Framework gemaakt</t>
  </si>
  <si>
    <t>Doorvoeren PR naar dev</t>
  </si>
  <si>
    <t>Framework in develop gezet voor review</t>
  </si>
  <si>
    <t>Nagecheckt of framework werkt via het clonen van repository.</t>
  </si>
  <si>
    <t>Afstemmen op behoeften omgeving</t>
  </si>
  <si>
    <t>Iteratief verfijnen ontwerp</t>
  </si>
  <si>
    <t>Ontwikkelen en verbeteren van de code (UC1)</t>
  </si>
  <si>
    <t>Sptint 1</t>
  </si>
  <si>
    <t>Verbinding met MYSQL database opgezet, database als service toegevoegd. Testdatabase met beheerder gemaakt.</t>
  </si>
  <si>
    <t>Uitvoeren handmatige test</t>
  </si>
  <si>
    <t>Databaseverbinding getest</t>
  </si>
  <si>
    <t>Ontwikkelen en verbeteren van de code (UC2)</t>
  </si>
  <si>
    <t>Controleer aansluiting ontwerp</t>
  </si>
  <si>
    <t>Bijwerken projectdocumentatie: Requirementsanalyse, Functioneel ontwerp, Technisch ontwerp, Testontwerp, Testrapportage</t>
  </si>
  <si>
    <t>Peerreviewen code</t>
  </si>
  <si>
    <t>Review code UC1 &amp; UC2</t>
  </si>
  <si>
    <t>Controle communiceerbaarheid ontwerp</t>
  </si>
  <si>
    <t>Uitwerken ontwerpdocument en samenvoeging bij prjectdocumentatie</t>
  </si>
  <si>
    <t>Projectdocumentatie, ontwerpdocument, en dashboard</t>
  </si>
  <si>
    <t>Monitoren voortgang sprintdoel</t>
  </si>
  <si>
    <t>Monitoring voortgang, hulp aan anderen, testing enz.</t>
  </si>
  <si>
    <t>Kiezen user stories</t>
  </si>
  <si>
    <t>User stories opzetten</t>
  </si>
  <si>
    <t>Dashboard naar develop met merge conflict, dat getest en fout opgelost, daarna na main &amp; release.</t>
  </si>
  <si>
    <t>Rick</t>
  </si>
  <si>
    <t>Vaardigheid</t>
  </si>
  <si>
    <t>Testen in pipeline</t>
  </si>
  <si>
    <t>Mergen feature met PR</t>
  </si>
  <si>
    <t>Maken feature branch</t>
  </si>
  <si>
    <t>Opzetten testen in pipeline</t>
  </si>
  <si>
    <t>Doorvoeren PR naar main</t>
  </si>
  <si>
    <t>Ontwerpen</t>
  </si>
  <si>
    <t>Gebruiken teststrategie</t>
  </si>
  <si>
    <t>Selecteren testsoort</t>
  </si>
  <si>
    <t>Opstellen geautomatiseerde test</t>
  </si>
  <si>
    <t>Uitvoeren geautomatiseerde test</t>
  </si>
  <si>
    <t>Adviseren</t>
  </si>
  <si>
    <t>Evalueren testresultaat</t>
  </si>
  <si>
    <t>Structureer project</t>
  </si>
  <si>
    <t>Toepassen taalconcepten</t>
  </si>
  <si>
    <t>Beredeneer keuze taalconcept</t>
  </si>
  <si>
    <t>Spoor fouten op</t>
  </si>
  <si>
    <t>Kies oplossing</t>
  </si>
  <si>
    <t>Voer oplossing door</t>
  </si>
  <si>
    <t>Toepassen modelleertechnieken</t>
  </si>
  <si>
    <t>Controle aansluiting requirements</t>
  </si>
  <si>
    <t>Controle toepassing ontwerptechnieken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</si>
  <si>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</si>
  <si>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</si>
  <si>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</si>
  <si>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</si>
  <si>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</si>
  <si>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Aangeven grenzen</t>
  </si>
  <si>
    <t>Opstellen productafspraken</t>
  </si>
  <si>
    <t>In kaart brengen afhankelijkheden</t>
  </si>
  <si>
    <t>Toevoegen taken aan user story</t>
  </si>
  <si>
    <t>Toevoegen acceptatiecriteria</t>
  </si>
  <si>
    <t>Uiten belemmeringen</t>
  </si>
  <si>
    <t>Inzichtelijk maken voortgang</t>
  </si>
  <si>
    <t>Oplossen belemmeringen</t>
  </si>
  <si>
    <t>Ondersteunen teamlid</t>
  </si>
  <si>
    <t>Ophalen feedback</t>
  </si>
  <si>
    <t>Kiezen werkvorm</t>
  </si>
  <si>
    <t>Verdeling over proces stappen</t>
  </si>
  <si>
    <t>Verdeling over HBO-I activiteiten</t>
  </si>
  <si>
    <t>Naam en Sprint</t>
  </si>
  <si>
    <t>Sum of Uren</t>
  </si>
  <si>
    <t>(leeg)</t>
  </si>
  <si>
    <t>Eindtotaal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</si>
</sst>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  <font>
      <sz val="11"/>
      <color rgb="FF000000"/>
      <name val="Aptos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51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2" fontId="7" fillId="0" borderId="0" xfId="0" applyNumberFormat="1" applyFont="1" applyAlignment="1">
      <alignment horizontal="right"/>
    </xf>
    <xf numFmtId="0" fontId="14" fillId="10" borderId="0" xfId="0" applyFont="1" applyFill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/>
    <xf numFmtId="0" fontId="14" fillId="10" borderId="0" xfId="0" applyFont="1" applyFill="1" applyAlignment="1">
      <alignment wrapText="1"/>
    </xf>
    <xf numFmtId="0" fontId="7" fillId="0" borderId="8" xfId="0" applyFont="1" applyBorder="1" applyAlignment="1">
      <alignment wrapText="1"/>
    </xf>
    <xf numFmtId="14" fontId="15" fillId="0" borderId="0" xfId="0" applyNumberFormat="1" applyFont="1"/>
    <xf numFmtId="0" fontId="5" fillId="7" borderId="4" xfId="2" applyFont="1" applyFill="1" applyAlignment="1">
      <alignment horizontal="center"/>
    </xf>
  </cellXfs>
  <cellStyles count="5">
    <cellStyle name="20% - Accent1" xfId="4" builtinId="30"/>
    <cellStyle name="Heading 1" xfId="2" builtinId="16"/>
    <cellStyle name="Heading 2" xfId="3" builtinId="17"/>
    <cellStyle name="Hyperlink" xfId="1" builtinId="8"/>
    <cellStyle name="Normal" xfId="0" builtinId="0"/>
  </cellStyles>
  <dxfs count="40"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2.754915393518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Blank="1" count="11">
        <s v="Edward"/>
        <s v="Tim"/>
        <s v="Kai"/>
        <s v="Nicky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9">
        <s v="Requirementsanalyseproces"/>
        <s v="Scrumproces"/>
        <s v="Beheerproces"/>
        <s v="Ontwerpproces"/>
        <s v="Testproces"/>
        <s v="Implementatieproces"/>
        <m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14">
      <sharedItems containsNonDate="0" containsDate="1" containsString="0" containsBlank="1" minDate="2025-10-11T00:00:00" maxDate="2025-11-22T00:00:00"/>
    </cacheField>
    <cacheField name="Uren" numFmtId="0">
      <sharedItems containsString="0" containsBlank="1" containsNumber="1" minValue="0.25" maxValue="5"/>
    </cacheField>
    <cacheField name="Sprint nr" numFmtId="0">
      <sharedItems containsBlank="1" containsMixedTypes="1" containsNumber="1" containsInteger="1" minValue="1" maxValue="9" count="10">
        <s v="Sprint 0"/>
        <s v="Sprint 1"/>
        <s v="Sptint 1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Blank="1" containsMixedTypes="1" containsNumber="1" containsInteger="1" minValue="0" maxValue="0" count="7">
        <s v="Analyseren"/>
        <s v="Manage &amp; Control"/>
        <s v="Realiseren"/>
        <s v="Ontwerpen"/>
        <m/>
        <s v="Adviseren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1"/>
    <x v="2"/>
    <s v="Inrichten .gitignore"/>
    <s v="Gitignore gemaakt en nagekeken"/>
    <d v="2025-11-11T00:00:00"/>
    <n v="0.5"/>
    <x v="0"/>
    <x v="1"/>
  </r>
  <r>
    <x v="1"/>
    <x v="2"/>
    <s v="Kiezen branchingstrategie"/>
    <s v="Github flow"/>
    <d v="2025-11-11T00:00:00"/>
    <n v="0.25"/>
    <x v="0"/>
    <x v="2"/>
  </r>
  <r>
    <x v="3"/>
    <x v="1"/>
    <s v="Reviewen werk"/>
    <s v="Reviewen Edwards werk"/>
    <d v="2025-11-11T00:00:00"/>
    <n v="0.5"/>
    <x v="0"/>
    <x v="2"/>
  </r>
  <r>
    <x v="3"/>
    <x v="0"/>
    <s v="Bestuderen  probleemstelling"/>
    <s v="Bestuderen opdracht"/>
    <d v="2025-11-11T00:00:00"/>
    <n v="1"/>
    <x v="0"/>
    <x v="0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1"/>
    <x v="1"/>
    <s v="Reviewen werk"/>
    <s v="Review alle documentatie van Edward"/>
    <d v="2025-11-13T00:00:00"/>
    <n v="2"/>
    <x v="0"/>
    <x v="4"/>
  </r>
  <r>
    <x v="1"/>
    <x v="1"/>
    <s v="Feedback geven"/>
    <s v="Feedback geven gebaseert op review"/>
    <d v="2025-11-13T00:00:00"/>
    <n v="0.5"/>
    <x v="0"/>
    <x v="5"/>
  </r>
  <r>
    <x v="0"/>
    <x v="1"/>
    <s v="Feedback ontvangen"/>
    <s v="Review en discussie mbt Feedback team"/>
    <d v="2025-11-13T00:00:00"/>
    <n v="0.5"/>
    <x v="0"/>
    <x v="5"/>
  </r>
  <r>
    <x v="0"/>
    <x v="0"/>
    <s v="Maken domeinmodel"/>
    <s v="Aanpassen en verrijken van het Functioneel ontwerp"/>
    <d v="2025-11-13T00:00:00"/>
    <n v="3.5"/>
    <x v="0"/>
    <x v="0"/>
  </r>
  <r>
    <x v="3"/>
    <x v="1"/>
    <s v="Noteren actiepunten"/>
    <s v="Notities opstellen in de requirement analyse"/>
    <d v="2025-11-13T00:00:00"/>
    <n v="2.5"/>
    <x v="0"/>
    <x v="5"/>
  </r>
  <r>
    <x v="3"/>
    <x v="1"/>
    <s v="Reviewen werk"/>
    <s v="Reviewen van alle documenten"/>
    <d v="2025-11-14T00:00:00"/>
    <n v="1"/>
    <x v="0"/>
    <x v="2"/>
  </r>
  <r>
    <x v="0"/>
    <x v="1"/>
    <s v="Feedback verwerken"/>
    <s v="Opstellen van het Projectdocument "/>
    <d v="2025-11-14T00:00:00"/>
    <n v="2.5"/>
    <x v="0"/>
    <x v="5"/>
  </r>
  <r>
    <x v="1"/>
    <x v="1"/>
    <s v="Prioriteren productbacklog"/>
    <s v="Prioriteiten aanpassen"/>
    <d v="2025-11-14T00:00:00"/>
    <n v="0.5"/>
    <x v="0"/>
    <x v="0"/>
  </r>
  <r>
    <x v="1"/>
    <x v="1"/>
    <s v="Reviewen werk"/>
    <s v="Review projectdocument"/>
    <d v="2025-11-14T00:00:00"/>
    <n v="0.75"/>
    <x v="0"/>
    <x v="2"/>
  </r>
  <r>
    <x v="1"/>
    <x v="2"/>
    <s v="Maken geversioneerde release"/>
    <s v="Documenten klaarzetten voor release sprint 0"/>
    <d v="2025-11-14T00:00:00"/>
    <n v="0.75"/>
    <x v="0"/>
    <x v="2"/>
  </r>
  <r>
    <x v="0"/>
    <x v="1"/>
    <s v="Reviewen werk"/>
    <s v="Review Sprint 0 aan teamleden"/>
    <d v="2025-11-14T00:00:00"/>
    <n v="0.75"/>
    <x v="0"/>
    <x v="2"/>
  </r>
  <r>
    <x v="0"/>
    <x v="1"/>
    <s v="Werk presenteren"/>
    <s v="Opstellen van een demo-presentatie"/>
    <d v="2025-11-16T00:00:00"/>
    <n v="2"/>
    <x v="0"/>
    <x v="5"/>
  </r>
  <r>
    <x v="0"/>
    <x v="1"/>
    <s v="Werk presenteren"/>
    <s v="Presentatie en retrospectief"/>
    <d v="2025-11-17T00:00:00"/>
    <n v="0.5"/>
    <x v="0"/>
    <x v="5"/>
  </r>
  <r>
    <x v="1"/>
    <x v="1"/>
    <s v="Opstellen productbacklog"/>
    <s v="Workshop gevolgd"/>
    <d v="2025-11-18T00:00:00"/>
    <n v="3"/>
    <x v="1"/>
    <x v="0"/>
  </r>
  <r>
    <x v="0"/>
    <x v="1"/>
    <s v="Opstellen productbacklog"/>
    <s v="Workshop gevolgd"/>
    <d v="2025-11-18T00:00:00"/>
    <n v="3"/>
    <x v="1"/>
    <x v="0"/>
  </r>
  <r>
    <x v="2"/>
    <x v="1"/>
    <s v="Opstellen productbacklog"/>
    <s v="Workshop gevolgd"/>
    <d v="2025-11-18T00:00:00"/>
    <n v="3"/>
    <x v="1"/>
    <x v="0"/>
  </r>
  <r>
    <x v="1"/>
    <x v="1"/>
    <s v="Vaststellen sprintdoel"/>
    <s v="Trello opgezet met taken"/>
    <d v="2025-11-18T00:00:00"/>
    <n v="0.5"/>
    <x v="1"/>
    <x v="0"/>
  </r>
  <r>
    <x v="1"/>
    <x v="5"/>
    <s v="Structureer code"/>
    <s v="Framework gemaakt"/>
    <d v="2025-11-18T00:00:00"/>
    <n v="0.75"/>
    <x v="1"/>
    <x v="2"/>
  </r>
  <r>
    <x v="1"/>
    <x v="2"/>
    <s v="Doorvoeren PR naar dev"/>
    <s v="Framework in develop gezet voor review"/>
    <d v="2025-11-18T00:00:00"/>
    <n v="0.75"/>
    <x v="1"/>
    <x v="2"/>
  </r>
  <r>
    <x v="1"/>
    <x v="1"/>
    <s v="Reviewen werk"/>
    <s v="Nagecheckt of framework werkt via het clonen van repository."/>
    <d v="2025-11-18T00:00:00"/>
    <n v="0.5"/>
    <x v="1"/>
    <x v="2"/>
  </r>
  <r>
    <x v="0"/>
    <x v="1"/>
    <s v="Afstemmen op behoeften omgeving"/>
    <s v="Scrumworkshop gevolgd"/>
    <d v="2025-11-18T00:00:00"/>
    <n v="1"/>
    <x v="1"/>
    <x v="1"/>
  </r>
  <r>
    <x v="0"/>
    <x v="3"/>
    <s v="Iteratief verfijnen ontwerp"/>
    <s v="Ontwikkelen en verbeteren van de code (UC1)"/>
    <d v="2025-11-19T00:00:00"/>
    <n v="5"/>
    <x v="2"/>
    <x v="3"/>
  </r>
  <r>
    <x v="1"/>
    <x v="5"/>
    <s v="Structureer code"/>
    <s v="Verbinding met MYSQL database opgezet, database als service toegevoegd. Testdatabase met beheerder gemaakt."/>
    <d v="2025-11-19T00:00:00"/>
    <n v="5"/>
    <x v="1"/>
    <x v="2"/>
  </r>
  <r>
    <x v="1"/>
    <x v="4"/>
    <s v="Uitvoeren handmatige test"/>
    <s v="Databaseverbinding getest"/>
    <d v="2025-11-19T00:00:00"/>
    <n v="0.5"/>
    <x v="1"/>
    <x v="2"/>
  </r>
  <r>
    <x v="0"/>
    <x v="3"/>
    <s v="Iteratief verfijnen ontwerp"/>
    <s v="Ontwikkelen en verbeteren van de code (UC2)"/>
    <d v="2025-11-20T00:00:00"/>
    <n v="3"/>
    <x v="2"/>
    <x v="3"/>
  </r>
  <r>
    <x v="0"/>
    <x v="5"/>
    <s v="Controleer aansluiting ontwerp"/>
    <s v="Bijwerken projectdocumentatie: Requirementsanalyse, Functioneel ontwerp, Technisch ontwerp, Testontwerp, Testrapportage"/>
    <d v="2025-11-20T00:00:00"/>
    <n v="4"/>
    <x v="1"/>
    <x v="2"/>
  </r>
  <r>
    <x v="1"/>
    <x v="5"/>
    <s v="Peerreviewen code"/>
    <s v="Review code UC1 &amp; UC2"/>
    <d v="2025-11-21T00:00:00"/>
    <n v="0.5"/>
    <x v="1"/>
    <x v="2"/>
  </r>
  <r>
    <x v="2"/>
    <x v="3"/>
    <s v="Controle communiceerbaarheid ontwerp"/>
    <s v="Uitwerken ontwerpdocument en samenvoeging bij prjectdocumentatie"/>
    <d v="2025-11-21T00:00:00"/>
    <n v="4"/>
    <x v="1"/>
    <x v="3"/>
  </r>
  <r>
    <x v="1"/>
    <x v="1"/>
    <s v="Reviewen werk"/>
    <s v="Projectdocumentatie en ontwerpdocument"/>
    <d v="2025-11-21T00:00:00"/>
    <n v="0.5"/>
    <x v="1"/>
    <x v="2"/>
  </r>
  <r>
    <x v="0"/>
    <x v="1"/>
    <s v="Monitoren voortgang sprintdoel"/>
    <s v="Monitoring voortgang, hulp aan anderen, testing enz."/>
    <d v="2025-11-21T00:00:00"/>
    <n v="0.5"/>
    <x v="1"/>
    <x v="2"/>
  </r>
  <r>
    <x v="4"/>
    <x v="6"/>
    <m/>
    <m/>
    <m/>
    <m/>
    <x v="3"/>
    <x v="6"/>
  </r>
  <r>
    <x v="4"/>
    <x v="6"/>
    <m/>
    <s v=" "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59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37" firstHeaderRow="1" firstDataRow="1" firstDataCol="1"/>
  <pivotFields count="8">
    <pivotField axis="axisRow" showAll="0" sortType="ascending">
      <items count="12">
        <item x="0"/>
        <item h="1" m="1" x="9"/>
        <item h="1" m="1" x="5"/>
        <item x="2"/>
        <item h="1" m="1" x="7"/>
        <item h="1" m="1" x="6"/>
        <item x="3"/>
        <item h="1" m="1" x="10"/>
        <item x="1"/>
        <item m="1" x="8"/>
        <item x="4"/>
        <item t="default"/>
      </items>
    </pivotField>
    <pivotField axis="axisRow" showAll="0">
      <items count="10">
        <item x="2"/>
        <item x="5"/>
        <item x="3"/>
        <item x="0"/>
        <item x="6"/>
        <item x="4"/>
        <item m="1" x="8"/>
        <item m="1" x="7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11">
        <item m="1" x="4"/>
        <item m="1" x="6"/>
        <item m="1" x="7"/>
        <item m="1" x="8"/>
        <item m="1" x="9"/>
        <item x="3"/>
        <item m="1" x="5"/>
        <item x="0"/>
        <item x="1"/>
        <item x="2"/>
        <item t="default"/>
      </items>
    </pivotField>
    <pivotField showAll="0"/>
  </pivotFields>
  <rowFields count="3">
    <field x="0"/>
    <field x="6"/>
    <field x="1"/>
  </rowFields>
  <rowItems count="34">
    <i>
      <x/>
    </i>
    <i r="1">
      <x v="7"/>
    </i>
    <i r="2">
      <x v="2"/>
    </i>
    <i r="2">
      <x v="3"/>
    </i>
    <i r="2">
      <x v="5"/>
    </i>
    <i r="2">
      <x v="8"/>
    </i>
    <i r="1">
      <x v="8"/>
    </i>
    <i r="2">
      <x v="1"/>
    </i>
    <i r="2">
      <x v="8"/>
    </i>
    <i r="1">
      <x v="9"/>
    </i>
    <i r="2">
      <x v="2"/>
    </i>
    <i>
      <x v="3"/>
    </i>
    <i r="1">
      <x v="7"/>
    </i>
    <i r="2">
      <x v="8"/>
    </i>
    <i r="1">
      <x v="8"/>
    </i>
    <i r="2">
      <x v="2"/>
    </i>
    <i r="2">
      <x v="8"/>
    </i>
    <i>
      <x v="6"/>
    </i>
    <i r="1">
      <x v="7"/>
    </i>
    <i r="2">
      <x v="3"/>
    </i>
    <i r="2">
      <x v="8"/>
    </i>
    <i>
      <x v="8"/>
    </i>
    <i r="1">
      <x v="7"/>
    </i>
    <i r="2">
      <x/>
    </i>
    <i r="2">
      <x v="8"/>
    </i>
    <i r="1">
      <x v="8"/>
    </i>
    <i r="2">
      <x/>
    </i>
    <i r="2">
      <x v="1"/>
    </i>
    <i r="2">
      <x v="5"/>
    </i>
    <i r="2">
      <x v="8"/>
    </i>
    <i>
      <x v="10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7">
      <pivotArea type="all" dataOnly="0" outline="0" fieldPosition="0"/>
    </format>
    <format dxfId="28">
      <pivotArea outline="0" collapsedLevelsAreSubtotals="1" fieldPosition="0"/>
    </format>
    <format dxfId="29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2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33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34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35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36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37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38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3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59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38" firstHeaderRow="1" firstDataRow="1" firstDataCol="1"/>
  <pivotFields count="8">
    <pivotField axis="axisRow" showAll="0">
      <items count="12">
        <item h="1" m="1" x="5"/>
        <item h="1" m="1" x="7"/>
        <item h="1" m="1" x="6"/>
        <item h="1" x="4"/>
        <item h="1" m="1" x="9"/>
        <item h="1" m="1" x="10"/>
        <item h="1" m="1" x="8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11">
        <item m="1" x="4"/>
        <item m="1" x="5"/>
        <item m="1" x="6"/>
        <item m="1" x="7"/>
        <item m="1" x="8"/>
        <item m="1" x="9"/>
        <item x="3"/>
        <item x="0"/>
        <item x="1"/>
        <item x="2"/>
        <item t="default"/>
      </items>
    </pivotField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</pivotFields>
  <rowFields count="3">
    <field x="0"/>
    <field x="6"/>
    <field x="7"/>
  </rowFields>
  <rowItems count="35">
    <i>
      <x v="7"/>
    </i>
    <i r="1">
      <x v="7"/>
    </i>
    <i r="2">
      <x v="1"/>
    </i>
    <i r="2">
      <x v="2"/>
    </i>
    <i r="2">
      <x v="3"/>
    </i>
    <i r="2">
      <x v="4"/>
    </i>
    <i r="2">
      <x v="6"/>
    </i>
    <i r="1">
      <x v="8"/>
    </i>
    <i r="2">
      <x v="1"/>
    </i>
    <i r="2">
      <x v="2"/>
    </i>
    <i r="2">
      <x v="3"/>
    </i>
    <i r="1">
      <x v="9"/>
    </i>
    <i r="2">
      <x v="4"/>
    </i>
    <i>
      <x v="8"/>
    </i>
    <i r="1">
      <x v="7"/>
    </i>
    <i r="2">
      <x v="1"/>
    </i>
    <i r="2">
      <x v="2"/>
    </i>
    <i r="2">
      <x v="3"/>
    </i>
    <i r="2">
      <x v="5"/>
    </i>
    <i r="2">
      <x v="6"/>
    </i>
    <i r="1">
      <x v="8"/>
    </i>
    <i r="2">
      <x v="1"/>
    </i>
    <i r="2">
      <x v="3"/>
    </i>
    <i>
      <x v="9"/>
    </i>
    <i r="1">
      <x v="7"/>
    </i>
    <i r="2">
      <x v="2"/>
    </i>
    <i r="1">
      <x v="8"/>
    </i>
    <i r="2">
      <x v="1"/>
    </i>
    <i r="2">
      <x v="4"/>
    </i>
    <i>
      <x v="10"/>
    </i>
    <i r="1">
      <x v="7"/>
    </i>
    <i r="2">
      <x v="1"/>
    </i>
    <i r="2">
      <x v="3"/>
    </i>
    <i r="2">
      <x v="6"/>
    </i>
    <i t="grand">
      <x/>
    </i>
  </rowItems>
  <colItems count="1">
    <i/>
  </colItems>
  <dataFields count="1">
    <dataField name="Sum of Uren" fld="5" baseField="0" baseItem="0"/>
  </dataFields>
  <formats count="9">
    <format dxfId="18">
      <pivotArea type="all" dataOnly="0" outline="0" fieldPosition="0"/>
    </format>
    <format dxfId="19">
      <pivotArea outline="0" collapsedLevelsAreSubtotals="1" fieldPosition="0"/>
    </format>
    <format dxfId="20">
      <pivotArea field="0" type="button" dataOnly="0" labelOnly="1" outline="0" axis="axisRow" fieldPosition="0"/>
    </format>
    <format dxfId="21">
      <pivotArea dataOnly="0" labelOnly="1" fieldPosition="0">
        <references count="1">
          <reference field="0" count="0"/>
        </references>
      </pivotArea>
    </format>
    <format dxfId="22">
      <pivotArea dataOnly="0" labelOnly="1" grandRow="1" outline="0" fieldPosition="0"/>
    </format>
    <format dxfId="2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4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25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26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17" dataDxfId="16">
  <autoFilter ref="B3:I95" xr:uid="{79AAA221-70D5-432F-95A4-0A8FEE9B4953}"/>
  <sortState xmlns:xlrd2="http://schemas.microsoft.com/office/spreadsheetml/2017/richdata2" ref="B4:I95">
    <sortCondition ref="F3:F95"/>
  </sortState>
  <tableColumns count="8">
    <tableColumn id="1" xr3:uid="{CDB853C4-8B99-45B3-AB11-6A49753D7D4D}" name="Naam" dataDxfId="15"/>
    <tableColumn id="2" xr3:uid="{EF52A3E8-5142-4BF3-82D6-0C49558CFCD4}" name="Proces" dataDxfId="14"/>
    <tableColumn id="3" xr3:uid="{63D7F1F9-49FD-43EF-94F6-834B0CD90DBB}" name="Vaaridigheid" dataDxfId="13"/>
    <tableColumn id="5" xr3:uid="{3BA8D563-80A8-4EB1-BA4E-66A3757E6E85}" name="Omschrijving werkzaamheden" dataDxfId="12"/>
    <tableColumn id="6" xr3:uid="{8FD0FAC1-D86A-4307-B9E6-23C37AA7A39B}" name="Datum" dataDxfId="11"/>
    <tableColumn id="7" xr3:uid="{FF9A6FE2-9D20-48DC-A9A7-6B57B166662A}" name="Uren" dataDxfId="10"/>
    <tableColumn id="8" xr3:uid="{92AE8BB0-5292-436F-83A4-3979F860B8D5}" name="Sprint nr" dataDxfId="9"/>
    <tableColumn id="9" xr3:uid="{CEB58FA4-C1C7-4A6E-B0F7-8175456DF6D5}" name="Activiteit" dataDxfId="8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7" dataDxfId="6">
  <autoFilter ref="A15:C90" xr:uid="{EEF63294-7F50-4B98-AE1D-CA3FAE874F12}"/>
  <tableColumns count="3">
    <tableColumn id="1" xr3:uid="{683524EE-0252-4046-9AB1-180DCBA069F6}" name="Activiteit" dataDxfId="5"/>
    <tableColumn id="2" xr3:uid="{30B73AA4-5A3C-4879-8CD6-67F92E14BDBB}" name="Proces" dataDxfId="4"/>
    <tableColumn id="3" xr3:uid="{9BC1FBA8-C134-4F59-B9C1-59C10AFA5446}" name="Vaardigheid" dataDxfId="3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" dataDxfId="1">
  <autoFilter ref="A2:A8" xr:uid="{C4C210E0-338E-4322-B6CB-0AFD215867A7}"/>
  <tableColumns count="1">
    <tableColumn id="1" xr3:uid="{2EC5413A-080D-42BE-89F8-EDBA37965822}" name="Namenlijst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5546875" defaultRowHeight="15"/>
  <cols>
    <col min="1" max="13" width="8.85546875" style="2"/>
    <col min="14" max="14" width="19.5703125" style="2" customWidth="1"/>
    <col min="15" max="16384" width="8.85546875" style="2"/>
  </cols>
  <sheetData>
    <row r="2" spans="2:14">
      <c r="N2" s="30" t="s">
        <v>0</v>
      </c>
    </row>
    <row r="3" spans="2:14" ht="21.75" thickBot="1">
      <c r="B3" s="50" t="s">
        <v>1</v>
      </c>
      <c r="C3" s="50"/>
      <c r="D3" s="50"/>
      <c r="E3" s="50"/>
      <c r="F3" s="50"/>
      <c r="G3" s="50"/>
      <c r="H3" s="50"/>
      <c r="I3" s="50"/>
      <c r="J3" s="50"/>
      <c r="N3" s="31" t="s">
        <v>2</v>
      </c>
    </row>
    <row r="4" spans="2:14" ht="15.75" thickTop="1">
      <c r="N4" s="32" t="s">
        <v>3</v>
      </c>
    </row>
    <row r="5" spans="2:14" ht="18" thickBot="1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.75" thickTop="1">
      <c r="B6" s="2" t="s">
        <v>6</v>
      </c>
      <c r="N6" s="32" t="s">
        <v>7</v>
      </c>
    </row>
    <row r="7" spans="2:14">
      <c r="B7" s="2" t="s">
        <v>8</v>
      </c>
    </row>
    <row r="8" spans="2:14">
      <c r="B8" s="4" t="s">
        <v>9</v>
      </c>
    </row>
    <row r="9" spans="2:14">
      <c r="B9" s="2" t="s">
        <v>10</v>
      </c>
    </row>
    <row r="11" spans="2:14">
      <c r="B11" s="2" t="s">
        <v>11</v>
      </c>
    </row>
    <row r="12" spans="2:14">
      <c r="B12" s="2" t="s">
        <v>12</v>
      </c>
    </row>
    <row r="13" spans="2:14">
      <c r="B13" s="2" t="s">
        <v>13</v>
      </c>
    </row>
    <row r="15" spans="2:14" ht="18" thickBot="1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.75" thickTop="1">
      <c r="B16" s="2" t="s">
        <v>15</v>
      </c>
    </row>
    <row r="17" spans="2:2">
      <c r="B17" s="2" t="s">
        <v>16</v>
      </c>
    </row>
    <row r="18" spans="2:2">
      <c r="B18" s="2" t="s">
        <v>17</v>
      </c>
    </row>
    <row r="19" spans="2:2">
      <c r="B19" s="2" t="s">
        <v>18</v>
      </c>
    </row>
    <row r="20" spans="2:2">
      <c r="B20" s="2" t="s">
        <v>19</v>
      </c>
    </row>
    <row r="21" spans="2:2">
      <c r="B21" s="2" t="s">
        <v>20</v>
      </c>
    </row>
    <row r="22" spans="2:2">
      <c r="B22" s="2" t="s">
        <v>21</v>
      </c>
    </row>
    <row r="23" spans="2:2">
      <c r="B23" s="2" t="s">
        <v>22</v>
      </c>
    </row>
    <row r="25" spans="2:2">
      <c r="B25" s="21" t="s">
        <v>23</v>
      </c>
    </row>
    <row r="26" spans="2:2">
      <c r="B26" s="2" t="s">
        <v>24</v>
      </c>
    </row>
    <row r="27" spans="2:2">
      <c r="B27" s="2" t="s">
        <v>25</v>
      </c>
    </row>
    <row r="28" spans="2:2">
      <c r="B28" s="2" t="s">
        <v>26</v>
      </c>
    </row>
    <row r="29" spans="2:2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topLeftCell="A41" zoomScale="88" workbookViewId="0">
      <selection activeCell="F62" sqref="F62"/>
    </sheetView>
  </sheetViews>
  <sheetFormatPr defaultColWidth="8.85546875" defaultRowHeight="15"/>
  <cols>
    <col min="1" max="1" width="8.85546875" style="2"/>
    <col min="2" max="2" width="12.140625" style="2" customWidth="1"/>
    <col min="3" max="3" width="29.140625" style="2" customWidth="1"/>
    <col min="4" max="4" width="52.140625" style="2" customWidth="1"/>
    <col min="5" max="5" width="42.85546875" style="2" customWidth="1"/>
    <col min="6" max="6" width="12.42578125" style="2" customWidth="1"/>
    <col min="7" max="7" width="8.85546875" style="2"/>
    <col min="8" max="8" width="10.5703125" style="2" customWidth="1"/>
    <col min="9" max="9" width="16.5703125" style="2" bestFit="1" customWidth="1"/>
    <col min="10" max="16384" width="8.85546875" style="2"/>
  </cols>
  <sheetData>
    <row r="3" spans="2:9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7.75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7.75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7.75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1.25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42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>
      <c r="B19" s="2" t="s">
        <v>2</v>
      </c>
      <c r="C19" s="2" t="s">
        <v>54</v>
      </c>
      <c r="D19" s="6" t="s">
        <v>67</v>
      </c>
      <c r="E19" s="6" t="s">
        <v>68</v>
      </c>
      <c r="F19" s="46">
        <v>45972</v>
      </c>
      <c r="G19" s="8">
        <v>0.5</v>
      </c>
      <c r="H19" s="2" t="s">
        <v>39</v>
      </c>
      <c r="I19" s="9" t="str">
        <f>_xlfn.XLOOKUP(Timeform[[#This Row],[Vaaridigheid]],Lijsten!C:C,Lijsten!A:A)</f>
        <v>Manage &amp; Control</v>
      </c>
    </row>
    <row r="20" spans="2:9">
      <c r="B20" s="2" t="s">
        <v>2</v>
      </c>
      <c r="C20" s="2" t="s">
        <v>54</v>
      </c>
      <c r="D20" s="6" t="s">
        <v>69</v>
      </c>
      <c r="E20" s="6" t="s">
        <v>70</v>
      </c>
      <c r="F20" s="46">
        <v>45972</v>
      </c>
      <c r="G20" s="8">
        <v>0.25</v>
      </c>
      <c r="H20" s="2" t="s">
        <v>39</v>
      </c>
      <c r="I20" s="9" t="str">
        <f>_xlfn.XLOOKUP(Timeform[[#This Row],[Vaaridigheid]],Lijsten!C:C,Lijsten!A:A)</f>
        <v>Realiseren</v>
      </c>
    </row>
    <row r="21" spans="2:9">
      <c r="B21" s="2" t="s">
        <v>7</v>
      </c>
      <c r="C21" s="2" t="s">
        <v>50</v>
      </c>
      <c r="D21" s="6" t="s">
        <v>59</v>
      </c>
      <c r="E21" s="6" t="s">
        <v>71</v>
      </c>
      <c r="F21" s="7">
        <v>45972</v>
      </c>
      <c r="G21" s="8">
        <v>0.5</v>
      </c>
      <c r="H21" s="2" t="s">
        <v>39</v>
      </c>
      <c r="I21" s="9" t="str">
        <f>_xlfn.XLOOKUP(Timeform[[#This Row],[Vaaridigheid]],Lijsten!C:C,Lijsten!A:A)</f>
        <v>Realiseren</v>
      </c>
    </row>
    <row r="22" spans="2:9">
      <c r="B22" s="2" t="s">
        <v>7</v>
      </c>
      <c r="C22" s="2" t="s">
        <v>36</v>
      </c>
      <c r="D22" s="6" t="s">
        <v>37</v>
      </c>
      <c r="E22" s="6" t="s">
        <v>72</v>
      </c>
      <c r="F22" s="7">
        <v>45972</v>
      </c>
      <c r="G22" s="8">
        <v>1</v>
      </c>
      <c r="H22" s="2" t="s">
        <v>39</v>
      </c>
      <c r="I22" s="9" t="str">
        <f>_xlfn.XLOOKUP(Timeform[[#This Row],[Vaaridigheid]],Lijsten!C:C,Lijsten!A:A)</f>
        <v>Analyseren</v>
      </c>
    </row>
    <row r="23" spans="2:9">
      <c r="B23" s="2" t="s">
        <v>3</v>
      </c>
      <c r="C23" s="44" t="s">
        <v>73</v>
      </c>
      <c r="D23" s="6" t="s">
        <v>74</v>
      </c>
      <c r="E23" s="6" t="s">
        <v>75</v>
      </c>
      <c r="F23" s="7">
        <v>45973</v>
      </c>
      <c r="G23" s="8">
        <v>1</v>
      </c>
      <c r="H23" s="2" t="s">
        <v>39</v>
      </c>
      <c r="I23" s="9" t="str">
        <f>_xlfn.XLOOKUP(Timeform[[#This Row],[Vaaridigheid]],Lijsten!C:C,Lijsten!A:A)</f>
        <v>Ontwerpen</v>
      </c>
    </row>
    <row r="24" spans="2:9">
      <c r="B24" s="2" t="s">
        <v>3</v>
      </c>
      <c r="C24" s="44" t="s">
        <v>73</v>
      </c>
      <c r="D24" s="6" t="s">
        <v>76</v>
      </c>
      <c r="E24" s="6" t="s">
        <v>75</v>
      </c>
      <c r="F24" s="7">
        <v>45973</v>
      </c>
      <c r="G24" s="8">
        <v>1</v>
      </c>
      <c r="H24" s="2" t="s">
        <v>39</v>
      </c>
      <c r="I24" s="9" t="str">
        <f>_xlfn.XLOOKUP(Timeform[[#This Row],[Vaaridigheid]],Lijsten!C:C,Lijsten!A:A)</f>
        <v>Ontwerpen</v>
      </c>
    </row>
    <row r="25" spans="2:9">
      <c r="B25" s="2" t="s">
        <v>3</v>
      </c>
      <c r="C25" s="44" t="s">
        <v>73</v>
      </c>
      <c r="D25" s="6" t="s">
        <v>77</v>
      </c>
      <c r="E25" s="6" t="s">
        <v>75</v>
      </c>
      <c r="F25" s="7">
        <v>45973</v>
      </c>
      <c r="G25" s="8">
        <v>0.5</v>
      </c>
      <c r="H25" s="2" t="s">
        <v>39</v>
      </c>
      <c r="I25" s="9" t="str">
        <f>_xlfn.XLOOKUP(Timeform[[#This Row],[Vaaridigheid]],Lijsten!C:C,Lijsten!A:A)</f>
        <v>Realiseren</v>
      </c>
    </row>
    <row r="26" spans="2:9" ht="27.75">
      <c r="B26" s="2" t="s">
        <v>3</v>
      </c>
      <c r="C26" s="2" t="s">
        <v>73</v>
      </c>
      <c r="D26" s="6" t="s">
        <v>77</v>
      </c>
      <c r="E26" s="6" t="s">
        <v>78</v>
      </c>
      <c r="F26" s="45">
        <v>45973</v>
      </c>
      <c r="G26" s="8">
        <v>1</v>
      </c>
      <c r="H26" s="2" t="s">
        <v>39</v>
      </c>
      <c r="I26" s="9" t="str">
        <f>_xlfn.XLOOKUP(Timeform[[#This Row],[Vaaridigheid]],Lijsten!C:C,Lijsten!A:A)</f>
        <v>Realiseren</v>
      </c>
    </row>
    <row r="27" spans="2:9">
      <c r="B27" s="2" t="s">
        <v>2</v>
      </c>
      <c r="C27" s="43" t="s">
        <v>50</v>
      </c>
      <c r="D27" s="6" t="s">
        <v>59</v>
      </c>
      <c r="E27" s="6" t="s">
        <v>79</v>
      </c>
      <c r="F27" s="45">
        <v>45974</v>
      </c>
      <c r="G27" s="8">
        <v>2</v>
      </c>
      <c r="H27" s="2" t="s">
        <v>39</v>
      </c>
      <c r="I27" s="9"/>
    </row>
    <row r="28" spans="2:9">
      <c r="B28" s="2" t="s">
        <v>2</v>
      </c>
      <c r="C28" s="43" t="s">
        <v>50</v>
      </c>
      <c r="D28" s="6" t="s">
        <v>80</v>
      </c>
      <c r="E28" s="6" t="s">
        <v>81</v>
      </c>
      <c r="F28" s="7">
        <v>45974</v>
      </c>
      <c r="G28" s="8">
        <v>0.5</v>
      </c>
      <c r="H28" s="2" t="s">
        <v>39</v>
      </c>
      <c r="I28" s="9" t="str">
        <f>_xlfn.XLOOKUP(Timeform[[#This Row],[Vaaridigheid]],Lijsten!C:C,Lijsten!A:A)</f>
        <v>Adviseren</v>
      </c>
    </row>
    <row r="29" spans="2:9">
      <c r="B29" s="2" t="s">
        <v>3</v>
      </c>
      <c r="C29" s="43" t="s">
        <v>50</v>
      </c>
      <c r="D29" s="6" t="s">
        <v>82</v>
      </c>
      <c r="E29" s="6" t="s">
        <v>83</v>
      </c>
      <c r="F29" s="7">
        <v>45974</v>
      </c>
      <c r="G29" s="8">
        <v>0.5</v>
      </c>
      <c r="H29" s="2" t="s">
        <v>39</v>
      </c>
      <c r="I29" s="9" t="str">
        <f>_xlfn.XLOOKUP(Timeform[[#This Row],[Vaaridigheid]],Lijsten!C:C,Lijsten!A:A)</f>
        <v>Adviseren</v>
      </c>
    </row>
    <row r="30" spans="2:9" ht="27.75">
      <c r="B30" s="2" t="s">
        <v>3</v>
      </c>
      <c r="C30" s="2" t="s">
        <v>36</v>
      </c>
      <c r="D30" s="6" t="s">
        <v>48</v>
      </c>
      <c r="E30" s="6" t="s">
        <v>84</v>
      </c>
      <c r="F30" s="7">
        <v>45974</v>
      </c>
      <c r="G30" s="8">
        <v>3.5</v>
      </c>
      <c r="H30" s="2" t="s">
        <v>39</v>
      </c>
      <c r="I30" s="9" t="str">
        <f>_xlfn.XLOOKUP(Timeform[[#This Row],[Vaaridigheid]],Lijsten!C:C,Lijsten!A:A)</f>
        <v>Analyseren</v>
      </c>
    </row>
    <row r="31" spans="2:9">
      <c r="B31" s="2" t="s">
        <v>7</v>
      </c>
      <c r="C31" s="2" t="s">
        <v>50</v>
      </c>
      <c r="D31" s="6" t="s">
        <v>85</v>
      </c>
      <c r="E31" s="6" t="s">
        <v>86</v>
      </c>
      <c r="F31" s="7">
        <v>45974</v>
      </c>
      <c r="G31" s="8">
        <v>2.5</v>
      </c>
      <c r="H31" s="2" t="s">
        <v>39</v>
      </c>
      <c r="I31" s="9" t="str">
        <f>_xlfn.XLOOKUP(Timeform[[#This Row],[Vaaridigheid]],Lijsten!C:C,Lijsten!A:A)</f>
        <v>Adviseren</v>
      </c>
    </row>
    <row r="32" spans="2:9">
      <c r="B32" s="2" t="s">
        <v>7</v>
      </c>
      <c r="C32" s="2" t="s">
        <v>50</v>
      </c>
      <c r="D32" s="6" t="s">
        <v>59</v>
      </c>
      <c r="E32" s="6" t="s">
        <v>87</v>
      </c>
      <c r="F32" s="7">
        <v>45975</v>
      </c>
      <c r="G32" s="8">
        <v>1</v>
      </c>
      <c r="H32" s="2" t="s">
        <v>39</v>
      </c>
      <c r="I32" s="9" t="str">
        <f>_xlfn.XLOOKUP(Timeform[[#This Row],[Vaaridigheid]],Lijsten!C:C,Lijsten!A:A)</f>
        <v>Realiseren</v>
      </c>
    </row>
    <row r="33" spans="2:9">
      <c r="B33" s="2" t="s">
        <v>3</v>
      </c>
      <c r="C33" s="2" t="s">
        <v>50</v>
      </c>
      <c r="D33" s="6" t="s">
        <v>88</v>
      </c>
      <c r="E33" s="6" t="s">
        <v>89</v>
      </c>
      <c r="F33" s="7">
        <v>45975</v>
      </c>
      <c r="G33" s="8">
        <v>2.5</v>
      </c>
      <c r="H33" s="2" t="s">
        <v>39</v>
      </c>
      <c r="I33" s="9" t="str">
        <f>_xlfn.XLOOKUP(Timeform[[#This Row],[Vaaridigheid]],Lijsten!C:C,Lijsten!A:A)</f>
        <v>Adviseren</v>
      </c>
    </row>
    <row r="34" spans="2:9">
      <c r="B34" s="2" t="s">
        <v>2</v>
      </c>
      <c r="C34" s="2" t="s">
        <v>50</v>
      </c>
      <c r="D34" s="6" t="s">
        <v>90</v>
      </c>
      <c r="E34" s="6" t="s">
        <v>91</v>
      </c>
      <c r="F34" s="7">
        <v>45975</v>
      </c>
      <c r="G34" s="8">
        <v>0.5</v>
      </c>
      <c r="H34" s="2" t="s">
        <v>39</v>
      </c>
      <c r="I34" s="9" t="str">
        <f>_xlfn.XLOOKUP(Timeform[[#This Row],[Vaaridigheid]],Lijsten!C:C,Lijsten!A:A)</f>
        <v>Analyseren</v>
      </c>
    </row>
    <row r="35" spans="2:9">
      <c r="B35" s="2" t="s">
        <v>2</v>
      </c>
      <c r="C35" s="2" t="s">
        <v>50</v>
      </c>
      <c r="D35" s="6" t="s">
        <v>59</v>
      </c>
      <c r="E35" s="6" t="s">
        <v>92</v>
      </c>
      <c r="F35" s="7">
        <v>45975</v>
      </c>
      <c r="G35" s="8">
        <v>0.75</v>
      </c>
      <c r="H35" s="2" t="s">
        <v>39</v>
      </c>
      <c r="I35" s="9" t="str">
        <f>_xlfn.XLOOKUP(Timeform[[#This Row],[Vaaridigheid]],Lijsten!C:C,Lijsten!A:A)</f>
        <v>Realiseren</v>
      </c>
    </row>
    <row r="36" spans="2:9">
      <c r="B36" s="2" t="s">
        <v>2</v>
      </c>
      <c r="C36" s="2" t="s">
        <v>54</v>
      </c>
      <c r="D36" s="6" t="s">
        <v>93</v>
      </c>
      <c r="E36" s="6" t="s">
        <v>94</v>
      </c>
      <c r="F36" s="7">
        <v>45975</v>
      </c>
      <c r="G36" s="8">
        <v>0.75</v>
      </c>
      <c r="H36" s="2" t="s">
        <v>39</v>
      </c>
      <c r="I36" s="9" t="str">
        <f>_xlfn.XLOOKUP(Timeform[[#This Row],[Vaaridigheid]],Lijsten!C:C,Lijsten!A:A)</f>
        <v>Realiseren</v>
      </c>
    </row>
    <row r="37" spans="2:9">
      <c r="B37" s="2" t="s">
        <v>3</v>
      </c>
      <c r="C37" s="2" t="s">
        <v>50</v>
      </c>
      <c r="D37" s="6" t="s">
        <v>59</v>
      </c>
      <c r="E37" s="6" t="s">
        <v>95</v>
      </c>
      <c r="F37" s="7">
        <v>45975</v>
      </c>
      <c r="G37" s="8">
        <v>0.75</v>
      </c>
      <c r="H37" s="2" t="s">
        <v>39</v>
      </c>
      <c r="I37" s="9" t="str">
        <f>_xlfn.XLOOKUP(Timeform[[#This Row],[Vaaridigheid]],Lijsten!C:C,Lijsten!A:A)</f>
        <v>Realiseren</v>
      </c>
    </row>
    <row r="38" spans="2:9">
      <c r="B38" s="2" t="s">
        <v>3</v>
      </c>
      <c r="C38" s="2" t="s">
        <v>50</v>
      </c>
      <c r="D38" s="6" t="s">
        <v>96</v>
      </c>
      <c r="E38" s="6" t="s">
        <v>97</v>
      </c>
      <c r="F38" s="7">
        <v>45977</v>
      </c>
      <c r="G38" s="8">
        <v>2</v>
      </c>
      <c r="H38" s="2" t="s">
        <v>39</v>
      </c>
      <c r="I38" s="9" t="str">
        <f>_xlfn.XLOOKUP(Timeform[[#This Row],[Vaaridigheid]],Lijsten!C:C,Lijsten!A:A)</f>
        <v>Adviseren</v>
      </c>
    </row>
    <row r="39" spans="2:9">
      <c r="B39" s="2" t="s">
        <v>3</v>
      </c>
      <c r="C39" s="2" t="s">
        <v>50</v>
      </c>
      <c r="D39" s="6" t="s">
        <v>96</v>
      </c>
      <c r="E39" s="6" t="s">
        <v>98</v>
      </c>
      <c r="F39" s="7">
        <v>45978</v>
      </c>
      <c r="G39" s="8">
        <v>0.5</v>
      </c>
      <c r="H39" s="2" t="s">
        <v>39</v>
      </c>
      <c r="I39" s="9" t="str">
        <f>_xlfn.XLOOKUP(Timeform[[#This Row],[Vaaridigheid]],Lijsten!C:C,Lijsten!A:A)</f>
        <v>Adviseren</v>
      </c>
    </row>
    <row r="40" spans="2:9">
      <c r="B40" s="2" t="s">
        <v>2</v>
      </c>
      <c r="C40" s="2" t="s">
        <v>50</v>
      </c>
      <c r="D40" s="6" t="s">
        <v>99</v>
      </c>
      <c r="E40" s="6" t="s">
        <v>100</v>
      </c>
      <c r="F40" s="7">
        <v>45979</v>
      </c>
      <c r="G40" s="8">
        <v>3</v>
      </c>
      <c r="H40" s="2" t="s">
        <v>101</v>
      </c>
      <c r="I40" s="9" t="str">
        <f>_xlfn.XLOOKUP(Timeform[[#This Row],[Vaaridigheid]],Lijsten!C:C,Lijsten!A:A)</f>
        <v>Analyseren</v>
      </c>
    </row>
    <row r="41" spans="2:9">
      <c r="B41" s="2" t="s">
        <v>3</v>
      </c>
      <c r="C41" s="2" t="s">
        <v>50</v>
      </c>
      <c r="D41" s="6" t="s">
        <v>99</v>
      </c>
      <c r="E41" s="6" t="s">
        <v>100</v>
      </c>
      <c r="F41" s="7">
        <v>45979</v>
      </c>
      <c r="G41" s="8">
        <v>3</v>
      </c>
      <c r="H41" s="2" t="s">
        <v>101</v>
      </c>
      <c r="I41" s="9" t="str">
        <f>_xlfn.XLOOKUP(Timeform[[#This Row],[Vaaridigheid]],Lijsten!C:C,Lijsten!A:A)</f>
        <v>Analyseren</v>
      </c>
    </row>
    <row r="42" spans="2:9">
      <c r="B42" s="2" t="s">
        <v>5</v>
      </c>
      <c r="C42" s="2" t="s">
        <v>50</v>
      </c>
      <c r="D42" s="6" t="s">
        <v>99</v>
      </c>
      <c r="E42" s="6" t="s">
        <v>100</v>
      </c>
      <c r="F42" s="7">
        <v>45979</v>
      </c>
      <c r="G42" s="8">
        <v>3</v>
      </c>
      <c r="H42" s="2" t="s">
        <v>101</v>
      </c>
      <c r="I42" s="9" t="str">
        <f>_xlfn.XLOOKUP(Timeform[[#This Row],[Vaaridigheid]],Lijsten!C:C,Lijsten!A:A)</f>
        <v>Analyseren</v>
      </c>
    </row>
    <row r="43" spans="2:9">
      <c r="B43" s="2" t="s">
        <v>2</v>
      </c>
      <c r="C43" s="2" t="s">
        <v>50</v>
      </c>
      <c r="D43" s="6" t="s">
        <v>102</v>
      </c>
      <c r="E43" s="6" t="s">
        <v>103</v>
      </c>
      <c r="F43" s="7">
        <v>45979</v>
      </c>
      <c r="G43" s="8">
        <v>0.5</v>
      </c>
      <c r="H43" s="2" t="s">
        <v>101</v>
      </c>
      <c r="I43" s="9" t="str">
        <f>_xlfn.XLOOKUP(Timeform[[#This Row],[Vaaridigheid]],Lijsten!C:C,Lijsten!A:A)</f>
        <v>Analyseren</v>
      </c>
    </row>
    <row r="44" spans="2:9">
      <c r="B44" s="2" t="s">
        <v>2</v>
      </c>
      <c r="C44" s="2" t="s">
        <v>104</v>
      </c>
      <c r="D44" s="6" t="s">
        <v>105</v>
      </c>
      <c r="E44" s="6" t="s">
        <v>106</v>
      </c>
      <c r="F44" s="7">
        <v>45979</v>
      </c>
      <c r="G44" s="8">
        <v>0.75</v>
      </c>
      <c r="H44" s="2" t="s">
        <v>101</v>
      </c>
      <c r="I44" s="9" t="str">
        <f>_xlfn.XLOOKUP(Timeform[[#This Row],[Vaaridigheid]],Lijsten!C:C,Lijsten!A:A)</f>
        <v>Realiseren</v>
      </c>
    </row>
    <row r="45" spans="2:9">
      <c r="B45" s="2" t="s">
        <v>2</v>
      </c>
      <c r="C45" s="2" t="s">
        <v>54</v>
      </c>
      <c r="D45" s="6" t="s">
        <v>107</v>
      </c>
      <c r="E45" s="6" t="s">
        <v>108</v>
      </c>
      <c r="F45" s="7">
        <v>45979</v>
      </c>
      <c r="G45" s="8">
        <v>0.75</v>
      </c>
      <c r="H45" s="2" t="s">
        <v>101</v>
      </c>
      <c r="I45" s="9" t="str">
        <f>_xlfn.XLOOKUP(Timeform[[#This Row],[Vaaridigheid]],Lijsten!C:C,Lijsten!A:A)</f>
        <v>Realiseren</v>
      </c>
    </row>
    <row r="46" spans="2:9" ht="27.75">
      <c r="B46" s="2" t="s">
        <v>2</v>
      </c>
      <c r="C46" s="2" t="s">
        <v>50</v>
      </c>
      <c r="D46" s="6" t="s">
        <v>59</v>
      </c>
      <c r="E46" s="48" t="s">
        <v>109</v>
      </c>
      <c r="F46" s="7">
        <v>45979</v>
      </c>
      <c r="G46" s="8">
        <v>0.5</v>
      </c>
      <c r="H46" s="2" t="s">
        <v>101</v>
      </c>
      <c r="I46" s="9" t="str">
        <f>_xlfn.XLOOKUP(Timeform[[#This Row],[Vaaridigheid]],Lijsten!C:C,Lijsten!A:A)</f>
        <v>Realiseren</v>
      </c>
    </row>
    <row r="47" spans="2:9">
      <c r="B47" s="2" t="s">
        <v>3</v>
      </c>
      <c r="C47" s="2" t="s">
        <v>50</v>
      </c>
      <c r="D47" s="6" t="s">
        <v>110</v>
      </c>
      <c r="E47" s="47" t="s">
        <v>52</v>
      </c>
      <c r="F47" s="7">
        <v>45979</v>
      </c>
      <c r="G47" s="8">
        <v>1</v>
      </c>
      <c r="H47" s="2" t="s">
        <v>101</v>
      </c>
      <c r="I47" s="9" t="str">
        <f>_xlfn.XLOOKUP(Timeform[[#This Row],[Vaaridigheid]],Lijsten!C:C,Lijsten!A:A)</f>
        <v>Manage &amp; Control</v>
      </c>
    </row>
    <row r="48" spans="2:9">
      <c r="B48" s="2" t="s">
        <v>3</v>
      </c>
      <c r="C48" s="2" t="s">
        <v>64</v>
      </c>
      <c r="D48" s="6" t="s">
        <v>111</v>
      </c>
      <c r="E48" s="6" t="s">
        <v>112</v>
      </c>
      <c r="F48" s="7">
        <v>45980</v>
      </c>
      <c r="G48" s="8">
        <v>5</v>
      </c>
      <c r="H48" s="2" t="s">
        <v>113</v>
      </c>
      <c r="I48" s="9" t="str">
        <f>_xlfn.XLOOKUP(Timeform[[#This Row],[Vaaridigheid]],Lijsten!C:C,Lijsten!A:A)</f>
        <v>Ontwerpen</v>
      </c>
    </row>
    <row r="49" spans="2:9" ht="41.25">
      <c r="B49" s="2" t="s">
        <v>2</v>
      </c>
      <c r="C49" s="2" t="s">
        <v>104</v>
      </c>
      <c r="D49" s="6" t="s">
        <v>105</v>
      </c>
      <c r="E49" s="6" t="s">
        <v>114</v>
      </c>
      <c r="F49" s="7">
        <v>45980</v>
      </c>
      <c r="G49" s="8">
        <v>5</v>
      </c>
      <c r="H49" s="2" t="s">
        <v>101</v>
      </c>
      <c r="I49" s="9" t="str">
        <f>_xlfn.XLOOKUP(Timeform[[#This Row],[Vaaridigheid]],Lijsten!C:C,Lijsten!A:A)</f>
        <v>Realiseren</v>
      </c>
    </row>
    <row r="50" spans="2:9">
      <c r="B50" s="2" t="s">
        <v>2</v>
      </c>
      <c r="C50" s="2" t="s">
        <v>73</v>
      </c>
      <c r="D50" s="6" t="s">
        <v>115</v>
      </c>
      <c r="E50" s="6" t="s">
        <v>116</v>
      </c>
      <c r="F50" s="7">
        <v>45980</v>
      </c>
      <c r="G50" s="8">
        <v>0.5</v>
      </c>
      <c r="H50" s="2" t="s">
        <v>101</v>
      </c>
      <c r="I50" s="9" t="str">
        <f>_xlfn.XLOOKUP(Timeform[[#This Row],[Vaaridigheid]],Lijsten!C:C,Lijsten!A:A)</f>
        <v>Realiseren</v>
      </c>
    </row>
    <row r="51" spans="2:9">
      <c r="B51" s="2" t="s">
        <v>3</v>
      </c>
      <c r="C51" s="2" t="s">
        <v>64</v>
      </c>
      <c r="D51" s="6" t="s">
        <v>111</v>
      </c>
      <c r="E51" s="6" t="s">
        <v>117</v>
      </c>
      <c r="F51" s="7">
        <v>45981</v>
      </c>
      <c r="G51" s="8">
        <v>3</v>
      </c>
      <c r="H51" s="2" t="s">
        <v>113</v>
      </c>
      <c r="I51" s="9" t="str">
        <f>_xlfn.XLOOKUP(Timeform[[#This Row],[Vaaridigheid]],Lijsten!C:C,Lijsten!A:A)</f>
        <v>Ontwerpen</v>
      </c>
    </row>
    <row r="52" spans="2:9" ht="41.25">
      <c r="B52" s="2" t="s">
        <v>3</v>
      </c>
      <c r="C52" s="2" t="s">
        <v>104</v>
      </c>
      <c r="D52" s="6" t="s">
        <v>118</v>
      </c>
      <c r="E52" s="6" t="s">
        <v>119</v>
      </c>
      <c r="F52" s="7">
        <v>45981</v>
      </c>
      <c r="G52" s="8">
        <v>4</v>
      </c>
      <c r="H52" s="2" t="s">
        <v>101</v>
      </c>
      <c r="I52" s="9" t="str">
        <f>_xlfn.XLOOKUP(Timeform[[#This Row],[Vaaridigheid]],Lijsten!C:C,Lijsten!A:A)</f>
        <v>Realiseren</v>
      </c>
    </row>
    <row r="53" spans="2:9">
      <c r="B53" s="2" t="s">
        <v>2</v>
      </c>
      <c r="C53" s="2" t="s">
        <v>104</v>
      </c>
      <c r="D53" s="6" t="s">
        <v>120</v>
      </c>
      <c r="E53" s="6" t="s">
        <v>121</v>
      </c>
      <c r="F53" s="7">
        <v>45982</v>
      </c>
      <c r="G53" s="8">
        <v>0.5</v>
      </c>
      <c r="H53" s="2" t="s">
        <v>101</v>
      </c>
      <c r="I53" s="9" t="str">
        <f>_xlfn.XLOOKUP(Timeform[[#This Row],[Vaaridigheid]],Lijsten!C:C,Lijsten!A:A)</f>
        <v>Realiseren</v>
      </c>
    </row>
    <row r="54" spans="2:9" ht="27.75">
      <c r="B54" s="2" t="s">
        <v>5</v>
      </c>
      <c r="C54" s="2" t="s">
        <v>64</v>
      </c>
      <c r="D54" s="6" t="s">
        <v>122</v>
      </c>
      <c r="E54" s="6" t="s">
        <v>123</v>
      </c>
      <c r="F54" s="49">
        <v>45982</v>
      </c>
      <c r="G54" s="8">
        <v>4</v>
      </c>
      <c r="H54" s="2" t="s">
        <v>101</v>
      </c>
      <c r="I54" s="9" t="str">
        <f>_xlfn.XLOOKUP(Timeform[[#This Row],[Vaaridigheid]],Lijsten!C:C,Lijsten!A:A)</f>
        <v>Ontwerpen</v>
      </c>
    </row>
    <row r="55" spans="2:9" ht="29.25">
      <c r="B55" s="2" t="s">
        <v>2</v>
      </c>
      <c r="C55" s="2" t="s">
        <v>50</v>
      </c>
      <c r="D55" s="6" t="s">
        <v>59</v>
      </c>
      <c r="E55" s="6" t="s">
        <v>124</v>
      </c>
      <c r="F55" s="7">
        <v>45982</v>
      </c>
      <c r="G55" s="8">
        <v>0.75</v>
      </c>
      <c r="H55" s="2" t="s">
        <v>101</v>
      </c>
      <c r="I55" s="9" t="str">
        <f>_xlfn.XLOOKUP(Timeform[[#This Row],[Vaaridigheid]],Lijsten!C:C,Lijsten!A:A)</f>
        <v>Realiseren</v>
      </c>
    </row>
    <row r="56" spans="2:9" ht="27.75">
      <c r="B56" s="2" t="s">
        <v>3</v>
      </c>
      <c r="C56" s="2" t="s">
        <v>50</v>
      </c>
      <c r="D56" s="6" t="s">
        <v>125</v>
      </c>
      <c r="E56" s="6" t="s">
        <v>126</v>
      </c>
      <c r="F56" s="7">
        <v>45982</v>
      </c>
      <c r="G56" s="8">
        <v>0.5</v>
      </c>
      <c r="H56" s="2" t="s">
        <v>101</v>
      </c>
      <c r="I56" s="9" t="str">
        <f>_xlfn.XLOOKUP(Timeform[[#This Row],[Vaaridigheid]],Lijsten!C:C,Lijsten!A:A)</f>
        <v>Realiseren</v>
      </c>
    </row>
    <row r="57" spans="2:9">
      <c r="B57" s="2" t="s">
        <v>7</v>
      </c>
      <c r="C57" s="2" t="s">
        <v>50</v>
      </c>
      <c r="D57" s="6" t="s">
        <v>127</v>
      </c>
      <c r="E57" s="6" t="s">
        <v>128</v>
      </c>
      <c r="F57" s="7">
        <v>45982</v>
      </c>
      <c r="G57" s="8">
        <v>1</v>
      </c>
      <c r="H57" s="2" t="s">
        <v>101</v>
      </c>
      <c r="I57" s="9" t="str">
        <f>_xlfn.XLOOKUP(Timeform[[#This Row],[Vaaridigheid]],Lijsten!C:C,Lijsten!A:A)</f>
        <v>Analyseren</v>
      </c>
    </row>
    <row r="58" spans="2:9" ht="43.5">
      <c r="B58" s="2" t="s">
        <v>2</v>
      </c>
      <c r="C58" s="2" t="s">
        <v>54</v>
      </c>
      <c r="D58" s="6" t="s">
        <v>93</v>
      </c>
      <c r="E58" s="6" t="s">
        <v>129</v>
      </c>
      <c r="F58" s="7">
        <v>45982</v>
      </c>
      <c r="G58" s="8">
        <v>0.75</v>
      </c>
      <c r="H58" s="2" t="s">
        <v>101</v>
      </c>
      <c r="I58" s="9" t="str">
        <f>_xlfn.XLOOKUP(Timeform[[#This Row],[Vaaridigheid]],Lijsten!C:C,Lijsten!A:A)</f>
        <v>Realiseren</v>
      </c>
    </row>
    <row r="59" spans="2:9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2:9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2:9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2:9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2:9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2:9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F28:F53 F55:F95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70" workbookViewId="0">
      <selection activeCell="H48" sqref="H48"/>
    </sheetView>
  </sheetViews>
  <sheetFormatPr defaultColWidth="8.85546875" defaultRowHeight="15"/>
  <cols>
    <col min="1" max="1" width="19.42578125" style="2" customWidth="1"/>
    <col min="2" max="2" width="24.42578125" style="2" bestFit="1" customWidth="1"/>
    <col min="3" max="3" width="53.42578125" style="2" customWidth="1"/>
    <col min="4" max="5" width="8.85546875" style="2"/>
    <col min="6" max="6" width="17.5703125" style="2" bestFit="1" customWidth="1"/>
    <col min="7" max="7" width="10.28515625" style="2" bestFit="1" customWidth="1"/>
    <col min="8" max="8" width="13.140625" style="2" bestFit="1" customWidth="1"/>
    <col min="9" max="16384" width="8.85546875" style="2"/>
  </cols>
  <sheetData>
    <row r="2" spans="1:7">
      <c r="A2" s="2" t="s">
        <v>0</v>
      </c>
    </row>
    <row r="3" spans="1:7">
      <c r="A3" s="2" t="s">
        <v>2</v>
      </c>
    </row>
    <row r="4" spans="1:7">
      <c r="A4" s="2" t="s">
        <v>3</v>
      </c>
    </row>
    <row r="5" spans="1:7">
      <c r="A5" s="2" t="s">
        <v>5</v>
      </c>
    </row>
    <row r="6" spans="1:7">
      <c r="A6" s="2" t="s">
        <v>7</v>
      </c>
    </row>
    <row r="7" spans="1:7">
      <c r="A7" s="2" t="s">
        <v>130</v>
      </c>
    </row>
    <row r="15" spans="1:7">
      <c r="A15" s="10" t="s">
        <v>35</v>
      </c>
      <c r="B15" s="10" t="s">
        <v>29</v>
      </c>
      <c r="C15" s="10" t="s">
        <v>131</v>
      </c>
      <c r="G15" s="7"/>
    </row>
    <row r="16" spans="1:7">
      <c r="A16" s="11" t="s">
        <v>53</v>
      </c>
      <c r="B16" s="11" t="s">
        <v>54</v>
      </c>
      <c r="C16" s="22" t="s">
        <v>55</v>
      </c>
    </row>
    <row r="17" spans="1:3">
      <c r="A17" s="11" t="s">
        <v>53</v>
      </c>
      <c r="B17" s="11" t="s">
        <v>54</v>
      </c>
      <c r="C17" s="22" t="s">
        <v>132</v>
      </c>
    </row>
    <row r="18" spans="1:3">
      <c r="A18" s="11" t="s">
        <v>53</v>
      </c>
      <c r="B18" s="11" t="s">
        <v>54</v>
      </c>
      <c r="C18" s="22" t="s">
        <v>67</v>
      </c>
    </row>
    <row r="19" spans="1:3">
      <c r="A19" s="11" t="s">
        <v>61</v>
      </c>
      <c r="B19" s="11" t="s">
        <v>54</v>
      </c>
      <c r="C19" s="22" t="s">
        <v>133</v>
      </c>
    </row>
    <row r="20" spans="1:3">
      <c r="A20" s="13" t="s">
        <v>61</v>
      </c>
      <c r="B20" s="13" t="s">
        <v>54</v>
      </c>
      <c r="C20" s="23" t="s">
        <v>93</v>
      </c>
    </row>
    <row r="21" spans="1:3">
      <c r="A21" s="11" t="s">
        <v>61</v>
      </c>
      <c r="B21" s="11" t="s">
        <v>54</v>
      </c>
      <c r="C21" s="22" t="s">
        <v>69</v>
      </c>
    </row>
    <row r="22" spans="1:3">
      <c r="A22" s="11" t="s">
        <v>61</v>
      </c>
      <c r="B22" s="11" t="s">
        <v>54</v>
      </c>
      <c r="C22" s="22" t="s">
        <v>134</v>
      </c>
    </row>
    <row r="23" spans="1:3">
      <c r="A23" s="11" t="s">
        <v>61</v>
      </c>
      <c r="B23" s="11" t="s">
        <v>54</v>
      </c>
      <c r="C23" s="22" t="s">
        <v>135</v>
      </c>
    </row>
    <row r="24" spans="1:3">
      <c r="A24" s="11" t="s">
        <v>61</v>
      </c>
      <c r="B24" s="11" t="s">
        <v>54</v>
      </c>
      <c r="C24" s="22" t="s">
        <v>107</v>
      </c>
    </row>
    <row r="25" spans="1:3">
      <c r="A25" s="13" t="s">
        <v>61</v>
      </c>
      <c r="B25" s="13" t="s">
        <v>54</v>
      </c>
      <c r="C25" s="23" t="s">
        <v>136</v>
      </c>
    </row>
    <row r="26" spans="1:3">
      <c r="A26" s="11" t="s">
        <v>137</v>
      </c>
      <c r="B26" s="11" t="s">
        <v>73</v>
      </c>
      <c r="C26" s="22" t="s">
        <v>138</v>
      </c>
    </row>
    <row r="27" spans="1:3">
      <c r="A27" s="11" t="s">
        <v>137</v>
      </c>
      <c r="B27" s="11" t="s">
        <v>73</v>
      </c>
      <c r="C27" s="22" t="s">
        <v>74</v>
      </c>
    </row>
    <row r="28" spans="1:3">
      <c r="A28" s="11" t="s">
        <v>137</v>
      </c>
      <c r="B28" s="11" t="s">
        <v>73</v>
      </c>
      <c r="C28" s="22" t="s">
        <v>76</v>
      </c>
    </row>
    <row r="29" spans="1:3">
      <c r="A29" s="11" t="s">
        <v>137</v>
      </c>
      <c r="B29" s="11" t="s">
        <v>73</v>
      </c>
      <c r="C29" s="22" t="s">
        <v>139</v>
      </c>
    </row>
    <row r="30" spans="1:3">
      <c r="A30" s="11" t="s">
        <v>61</v>
      </c>
      <c r="B30" s="11" t="s">
        <v>73</v>
      </c>
      <c r="C30" s="22" t="s">
        <v>77</v>
      </c>
    </row>
    <row r="31" spans="1:3">
      <c r="A31" s="11" t="s">
        <v>61</v>
      </c>
      <c r="B31" s="11" t="s">
        <v>73</v>
      </c>
      <c r="C31" s="22" t="s">
        <v>140</v>
      </c>
    </row>
    <row r="32" spans="1:3">
      <c r="A32" s="11" t="s">
        <v>61</v>
      </c>
      <c r="B32" s="11" t="s">
        <v>73</v>
      </c>
      <c r="C32" s="22" t="s">
        <v>115</v>
      </c>
    </row>
    <row r="33" spans="1:3">
      <c r="A33" s="11" t="s">
        <v>61</v>
      </c>
      <c r="B33" s="11" t="s">
        <v>73</v>
      </c>
      <c r="C33" s="22" t="s">
        <v>141</v>
      </c>
    </row>
    <row r="34" spans="1:3">
      <c r="A34" s="11" t="s">
        <v>142</v>
      </c>
      <c r="B34" s="11" t="s">
        <v>73</v>
      </c>
      <c r="C34" s="22" t="s">
        <v>143</v>
      </c>
    </row>
    <row r="35" spans="1:3">
      <c r="A35" s="14" t="s">
        <v>142</v>
      </c>
      <c r="B35" s="13" t="s">
        <v>73</v>
      </c>
      <c r="C35" s="23" t="s">
        <v>143</v>
      </c>
    </row>
    <row r="36" spans="1:3">
      <c r="A36" s="11" t="s">
        <v>61</v>
      </c>
      <c r="B36" s="11" t="s">
        <v>104</v>
      </c>
      <c r="C36" s="22" t="s">
        <v>144</v>
      </c>
    </row>
    <row r="37" spans="1:3">
      <c r="A37" s="11" t="s">
        <v>61</v>
      </c>
      <c r="B37" s="11" t="s">
        <v>104</v>
      </c>
      <c r="C37" s="22" t="s">
        <v>105</v>
      </c>
    </row>
    <row r="38" spans="1:3">
      <c r="A38" s="11" t="s">
        <v>61</v>
      </c>
      <c r="B38" s="11" t="s">
        <v>104</v>
      </c>
      <c r="C38" s="22" t="s">
        <v>145</v>
      </c>
    </row>
    <row r="39" spans="1:3">
      <c r="A39" s="11" t="s">
        <v>61</v>
      </c>
      <c r="B39" s="11" t="s">
        <v>104</v>
      </c>
      <c r="C39" s="22" t="s">
        <v>118</v>
      </c>
    </row>
    <row r="40" spans="1:3">
      <c r="A40" s="11" t="s">
        <v>61</v>
      </c>
      <c r="B40" s="11" t="s">
        <v>104</v>
      </c>
      <c r="C40" s="22" t="s">
        <v>120</v>
      </c>
    </row>
    <row r="41" spans="1:3">
      <c r="A41" s="11" t="s">
        <v>61</v>
      </c>
      <c r="B41" s="11" t="s">
        <v>104</v>
      </c>
      <c r="C41" s="22" t="s">
        <v>146</v>
      </c>
    </row>
    <row r="42" spans="1:3">
      <c r="A42" s="11" t="s">
        <v>61</v>
      </c>
      <c r="B42" s="11" t="s">
        <v>104</v>
      </c>
      <c r="C42" s="22" t="s">
        <v>147</v>
      </c>
    </row>
    <row r="43" spans="1:3">
      <c r="A43" s="11" t="s">
        <v>61</v>
      </c>
      <c r="B43" s="11" t="s">
        <v>104</v>
      </c>
      <c r="C43" s="22" t="s">
        <v>148</v>
      </c>
    </row>
    <row r="44" spans="1:3">
      <c r="A44" s="13" t="s">
        <v>61</v>
      </c>
      <c r="B44" s="13" t="s">
        <v>104</v>
      </c>
      <c r="C44" s="23" t="s">
        <v>149</v>
      </c>
    </row>
    <row r="45" spans="1:3">
      <c r="A45" s="11" t="s">
        <v>137</v>
      </c>
      <c r="B45" s="11" t="s">
        <v>64</v>
      </c>
      <c r="C45" s="22" t="s">
        <v>65</v>
      </c>
    </row>
    <row r="46" spans="1:3">
      <c r="A46" s="11" t="s">
        <v>137</v>
      </c>
      <c r="B46" s="11" t="s">
        <v>64</v>
      </c>
      <c r="C46" s="22" t="s">
        <v>150</v>
      </c>
    </row>
    <row r="47" spans="1:3">
      <c r="A47" s="11" t="s">
        <v>137</v>
      </c>
      <c r="B47" s="11" t="s">
        <v>64</v>
      </c>
      <c r="C47" s="22" t="s">
        <v>111</v>
      </c>
    </row>
    <row r="48" spans="1:3">
      <c r="A48" s="11" t="s">
        <v>137</v>
      </c>
      <c r="B48" s="11" t="s">
        <v>64</v>
      </c>
      <c r="C48" s="22" t="s">
        <v>122</v>
      </c>
    </row>
    <row r="49" spans="1:3">
      <c r="A49" s="11" t="s">
        <v>137</v>
      </c>
      <c r="B49" s="11" t="s">
        <v>64</v>
      </c>
      <c r="C49" s="22" t="s">
        <v>151</v>
      </c>
    </row>
    <row r="50" spans="1:3">
      <c r="A50" s="11" t="s">
        <v>137</v>
      </c>
      <c r="B50" s="11" t="s">
        <v>64</v>
      </c>
      <c r="C50" s="22" t="s">
        <v>152</v>
      </c>
    </row>
    <row r="51" spans="1:3">
      <c r="A51" s="11" t="s">
        <v>142</v>
      </c>
      <c r="B51" s="11" t="s">
        <v>64</v>
      </c>
      <c r="C51" s="22" t="s">
        <v>153</v>
      </c>
    </row>
    <row r="52" spans="1:3">
      <c r="A52" s="15" t="s">
        <v>142</v>
      </c>
      <c r="B52" s="13" t="s">
        <v>64</v>
      </c>
      <c r="C52" s="23" t="s">
        <v>154</v>
      </c>
    </row>
    <row r="53" spans="1:3">
      <c r="A53" s="11" t="s">
        <v>40</v>
      </c>
      <c r="B53" s="11" t="s">
        <v>36</v>
      </c>
      <c r="C53" s="22" t="s">
        <v>48</v>
      </c>
    </row>
    <row r="54" spans="1:3">
      <c r="A54" s="11" t="s">
        <v>40</v>
      </c>
      <c r="B54" s="11" t="s">
        <v>36</v>
      </c>
      <c r="C54" s="22" t="s">
        <v>37</v>
      </c>
    </row>
    <row r="55" spans="1:3">
      <c r="A55" s="11" t="s">
        <v>40</v>
      </c>
      <c r="B55" s="11" t="s">
        <v>36</v>
      </c>
      <c r="C55" s="22" t="s">
        <v>41</v>
      </c>
    </row>
    <row r="56" spans="1:3">
      <c r="A56" s="11" t="s">
        <v>40</v>
      </c>
      <c r="B56" s="11" t="s">
        <v>36</v>
      </c>
      <c r="C56" s="22" t="s">
        <v>43</v>
      </c>
    </row>
    <row r="57" spans="1:3">
      <c r="A57" s="11" t="s">
        <v>40</v>
      </c>
      <c r="B57" s="11" t="s">
        <v>36</v>
      </c>
      <c r="C57" s="22" t="s">
        <v>155</v>
      </c>
    </row>
    <row r="58" spans="1:3">
      <c r="A58" s="11" t="s">
        <v>40</v>
      </c>
      <c r="B58" s="11" t="s">
        <v>36</v>
      </c>
      <c r="C58" s="22" t="s">
        <v>45</v>
      </c>
    </row>
    <row r="59" spans="1:3">
      <c r="A59" s="11" t="s">
        <v>40</v>
      </c>
      <c r="B59" s="11" t="s">
        <v>36</v>
      </c>
      <c r="C59" s="22" t="s">
        <v>156</v>
      </c>
    </row>
    <row r="60" spans="1:3">
      <c r="A60" s="11" t="s">
        <v>40</v>
      </c>
      <c r="B60" s="11" t="s">
        <v>36</v>
      </c>
      <c r="C60" s="22" t="s">
        <v>46</v>
      </c>
    </row>
    <row r="61" spans="1:3">
      <c r="A61" s="11" t="s">
        <v>40</v>
      </c>
      <c r="B61" s="11" t="s">
        <v>36</v>
      </c>
      <c r="C61" s="22" t="s">
        <v>47</v>
      </c>
    </row>
    <row r="62" spans="1:3">
      <c r="A62" s="16" t="s">
        <v>142</v>
      </c>
      <c r="B62" s="11" t="s">
        <v>36</v>
      </c>
      <c r="C62" s="22" t="s">
        <v>157</v>
      </c>
    </row>
    <row r="63" spans="1:3">
      <c r="A63" s="13" t="s">
        <v>53</v>
      </c>
      <c r="B63" s="13" t="s">
        <v>36</v>
      </c>
      <c r="C63" s="23" t="s">
        <v>62</v>
      </c>
    </row>
    <row r="64" spans="1:3">
      <c r="A64" s="12" t="s">
        <v>53</v>
      </c>
      <c r="B64" s="17" t="s">
        <v>50</v>
      </c>
      <c r="C64" s="24" t="s">
        <v>51</v>
      </c>
    </row>
    <row r="65" spans="1:3">
      <c r="A65" s="12" t="s">
        <v>53</v>
      </c>
      <c r="B65" s="17" t="s">
        <v>50</v>
      </c>
      <c r="C65" s="22" t="s">
        <v>158</v>
      </c>
    </row>
    <row r="66" spans="1:3">
      <c r="A66" s="12" t="s">
        <v>53</v>
      </c>
      <c r="B66" s="17" t="s">
        <v>50</v>
      </c>
      <c r="C66" s="22" t="s">
        <v>110</v>
      </c>
    </row>
    <row r="67" spans="1:3">
      <c r="A67" s="12" t="s">
        <v>40</v>
      </c>
      <c r="B67" s="17" t="s">
        <v>50</v>
      </c>
      <c r="C67" s="22" t="s">
        <v>159</v>
      </c>
    </row>
    <row r="68" spans="1:3">
      <c r="A68" s="12" t="s">
        <v>40</v>
      </c>
      <c r="B68" s="17" t="s">
        <v>50</v>
      </c>
      <c r="C68" s="22" t="s">
        <v>102</v>
      </c>
    </row>
    <row r="69" spans="1:3">
      <c r="A69" s="12" t="s">
        <v>40</v>
      </c>
      <c r="B69" s="17" t="s">
        <v>50</v>
      </c>
      <c r="C69" s="22" t="s">
        <v>57</v>
      </c>
    </row>
    <row r="70" spans="1:3">
      <c r="A70" s="12" t="s">
        <v>40</v>
      </c>
      <c r="B70" s="17" t="s">
        <v>50</v>
      </c>
      <c r="C70" s="22" t="s">
        <v>160</v>
      </c>
    </row>
    <row r="71" spans="1:3">
      <c r="A71" s="12" t="s">
        <v>40</v>
      </c>
      <c r="B71" s="17" t="s">
        <v>50</v>
      </c>
      <c r="C71" s="22" t="s">
        <v>127</v>
      </c>
    </row>
    <row r="72" spans="1:3">
      <c r="A72" s="12" t="s">
        <v>40</v>
      </c>
      <c r="B72" s="17" t="s">
        <v>50</v>
      </c>
      <c r="C72" s="22" t="s">
        <v>161</v>
      </c>
    </row>
    <row r="73" spans="1:3">
      <c r="A73" s="12" t="s">
        <v>40</v>
      </c>
      <c r="B73" s="17" t="s">
        <v>50</v>
      </c>
      <c r="C73" s="22" t="s">
        <v>99</v>
      </c>
    </row>
    <row r="74" spans="1:3">
      <c r="A74" s="12" t="s">
        <v>40</v>
      </c>
      <c r="B74" s="17" t="s">
        <v>50</v>
      </c>
      <c r="C74" s="22" t="s">
        <v>90</v>
      </c>
    </row>
    <row r="75" spans="1:3">
      <c r="A75" s="12" t="s">
        <v>61</v>
      </c>
      <c r="B75" s="17" t="s">
        <v>50</v>
      </c>
      <c r="C75" s="22" t="s">
        <v>162</v>
      </c>
    </row>
    <row r="76" spans="1:3">
      <c r="A76" s="12" t="s">
        <v>61</v>
      </c>
      <c r="B76" s="17" t="s">
        <v>50</v>
      </c>
      <c r="C76" s="22" t="s">
        <v>125</v>
      </c>
    </row>
    <row r="77" spans="1:3">
      <c r="A77" s="12" t="s">
        <v>61</v>
      </c>
      <c r="B77" s="17" t="s">
        <v>50</v>
      </c>
      <c r="C77" s="22" t="s">
        <v>163</v>
      </c>
    </row>
    <row r="78" spans="1:3">
      <c r="A78" s="12" t="s">
        <v>61</v>
      </c>
      <c r="B78" s="17" t="s">
        <v>50</v>
      </c>
      <c r="C78" s="22" t="s">
        <v>164</v>
      </c>
    </row>
    <row r="79" spans="1:3">
      <c r="A79" s="12" t="s">
        <v>61</v>
      </c>
      <c r="B79" s="17" t="s">
        <v>50</v>
      </c>
      <c r="C79" s="22" t="s">
        <v>165</v>
      </c>
    </row>
    <row r="80" spans="1:3">
      <c r="A80" s="12" t="s">
        <v>61</v>
      </c>
      <c r="B80" s="17" t="s">
        <v>50</v>
      </c>
      <c r="C80" s="22" t="s">
        <v>59</v>
      </c>
    </row>
    <row r="81" spans="1:3">
      <c r="A81" s="12" t="s">
        <v>142</v>
      </c>
      <c r="B81" s="17" t="s">
        <v>50</v>
      </c>
      <c r="C81" s="22" t="s">
        <v>166</v>
      </c>
    </row>
    <row r="82" spans="1:3">
      <c r="A82" s="12" t="s">
        <v>142</v>
      </c>
      <c r="B82" s="17" t="s">
        <v>50</v>
      </c>
      <c r="C82" s="22" t="s">
        <v>96</v>
      </c>
    </row>
    <row r="83" spans="1:3">
      <c r="A83" s="12" t="s">
        <v>142</v>
      </c>
      <c r="B83" s="17" t="s">
        <v>50</v>
      </c>
      <c r="C83" s="22" t="s">
        <v>167</v>
      </c>
    </row>
    <row r="84" spans="1:3">
      <c r="A84" s="12" t="s">
        <v>142</v>
      </c>
      <c r="B84" s="17" t="s">
        <v>50</v>
      </c>
      <c r="C84" s="22" t="s">
        <v>88</v>
      </c>
    </row>
    <row r="85" spans="1:3">
      <c r="A85" s="12" t="s">
        <v>142</v>
      </c>
      <c r="B85" s="17" t="s">
        <v>50</v>
      </c>
      <c r="C85" s="22" t="s">
        <v>168</v>
      </c>
    </row>
    <row r="86" spans="1:3">
      <c r="A86" s="12" t="s">
        <v>142</v>
      </c>
      <c r="B86" s="17" t="s">
        <v>50</v>
      </c>
      <c r="C86" s="22" t="s">
        <v>80</v>
      </c>
    </row>
    <row r="87" spans="1:3">
      <c r="A87" s="12" t="s">
        <v>142</v>
      </c>
      <c r="B87" s="17" t="s">
        <v>50</v>
      </c>
      <c r="C87" s="22" t="s">
        <v>82</v>
      </c>
    </row>
    <row r="88" spans="1:3">
      <c r="A88" s="12" t="s">
        <v>142</v>
      </c>
      <c r="B88" s="17" t="s">
        <v>50</v>
      </c>
      <c r="C88" s="22" t="s">
        <v>85</v>
      </c>
    </row>
    <row r="89" spans="1:3">
      <c r="A89" s="12"/>
      <c r="B89" s="17"/>
      <c r="C89" s="18"/>
    </row>
    <row r="90" spans="1: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38"/>
  <sheetViews>
    <sheetView workbookViewId="0">
      <selection activeCell="I8" sqref="I8"/>
    </sheetView>
  </sheetViews>
  <sheetFormatPr defaultColWidth="8.85546875" defaultRowHeight="15"/>
  <cols>
    <col min="1" max="1" width="8.85546875" style="2"/>
    <col min="2" max="2" width="33.85546875" style="2" bestFit="1" customWidth="1"/>
    <col min="3" max="3" width="13.140625" style="2" bestFit="1" customWidth="1"/>
    <col min="4" max="4" width="15.5703125" style="2" bestFit="1" customWidth="1"/>
    <col min="5" max="5" width="23.5703125" style="2" bestFit="1" customWidth="1"/>
    <col min="6" max="6" width="13.140625" style="2" bestFit="1" customWidth="1"/>
    <col min="7" max="7" width="15.5703125" style="2" bestFit="1" customWidth="1"/>
    <col min="8" max="16384" width="8.85546875" style="2"/>
  </cols>
  <sheetData>
    <row r="2" spans="2:6">
      <c r="B2" s="2" t="s">
        <v>169</v>
      </c>
      <c r="E2" s="2" t="s">
        <v>170</v>
      </c>
    </row>
    <row r="3" spans="2:6">
      <c r="B3" s="25" t="s">
        <v>171</v>
      </c>
      <c r="C3" s="26" t="s">
        <v>172</v>
      </c>
      <c r="E3" s="25" t="s">
        <v>171</v>
      </c>
      <c r="F3" s="26" t="s">
        <v>172</v>
      </c>
    </row>
    <row r="4" spans="2:6">
      <c r="B4" s="27" t="s">
        <v>3</v>
      </c>
      <c r="C4" s="26">
        <v>42.25</v>
      </c>
      <c r="E4" s="27" t="s">
        <v>3</v>
      </c>
      <c r="F4" s="26">
        <v>42.25</v>
      </c>
    </row>
    <row r="5" spans="2:6">
      <c r="B5" s="28" t="s">
        <v>39</v>
      </c>
      <c r="C5" s="26">
        <v>25.75</v>
      </c>
      <c r="E5" s="28" t="s">
        <v>39</v>
      </c>
      <c r="F5" s="26">
        <v>25.75</v>
      </c>
    </row>
    <row r="6" spans="2:6">
      <c r="B6" s="29" t="s">
        <v>64</v>
      </c>
      <c r="C6" s="26">
        <v>2</v>
      </c>
      <c r="E6" s="29" t="s">
        <v>40</v>
      </c>
      <c r="F6" s="26">
        <v>9</v>
      </c>
    </row>
    <row r="7" spans="2:6">
      <c r="B7" s="29" t="s">
        <v>36</v>
      </c>
      <c r="C7" s="26">
        <v>11</v>
      </c>
      <c r="E7" s="29" t="s">
        <v>53</v>
      </c>
      <c r="F7" s="26">
        <v>5</v>
      </c>
    </row>
    <row r="8" spans="2:6">
      <c r="B8" s="29" t="s">
        <v>73</v>
      </c>
      <c r="C8" s="26">
        <v>3.5</v>
      </c>
      <c r="E8" s="29" t="s">
        <v>61</v>
      </c>
      <c r="F8" s="26">
        <v>2.25</v>
      </c>
    </row>
    <row r="9" spans="2:6">
      <c r="B9" s="29" t="s">
        <v>50</v>
      </c>
      <c r="C9" s="26">
        <v>9.25</v>
      </c>
      <c r="E9" s="29" t="s">
        <v>137</v>
      </c>
      <c r="F9" s="26">
        <v>4</v>
      </c>
    </row>
    <row r="10" spans="2:6">
      <c r="B10" s="28" t="s">
        <v>101</v>
      </c>
      <c r="C10" s="26">
        <v>8.5</v>
      </c>
      <c r="E10" s="29" t="s">
        <v>142</v>
      </c>
      <c r="F10" s="26">
        <v>5.5</v>
      </c>
    </row>
    <row r="11" spans="2:6">
      <c r="B11" s="29" t="s">
        <v>104</v>
      </c>
      <c r="C11" s="26">
        <v>4</v>
      </c>
      <c r="E11" s="28" t="s">
        <v>101</v>
      </c>
      <c r="F11" s="26">
        <v>8.5</v>
      </c>
    </row>
    <row r="12" spans="2:6">
      <c r="B12" s="29" t="s">
        <v>50</v>
      </c>
      <c r="C12" s="26">
        <v>4.5</v>
      </c>
      <c r="E12" s="29" t="s">
        <v>40</v>
      </c>
      <c r="F12" s="26">
        <v>3</v>
      </c>
    </row>
    <row r="13" spans="2:6">
      <c r="B13" s="28" t="s">
        <v>113</v>
      </c>
      <c r="C13" s="26">
        <v>8</v>
      </c>
      <c r="E13" s="29" t="s">
        <v>53</v>
      </c>
      <c r="F13" s="26">
        <v>1</v>
      </c>
    </row>
    <row r="14" spans="2:6">
      <c r="B14" s="29" t="s">
        <v>64</v>
      </c>
      <c r="C14" s="26">
        <v>8</v>
      </c>
      <c r="E14" s="29" t="s">
        <v>61</v>
      </c>
      <c r="F14" s="26">
        <v>4.5</v>
      </c>
    </row>
    <row r="15" spans="2:6">
      <c r="B15" s="27" t="s">
        <v>5</v>
      </c>
      <c r="C15" s="26">
        <v>10</v>
      </c>
      <c r="E15" s="28" t="s">
        <v>113</v>
      </c>
      <c r="F15" s="26">
        <v>8</v>
      </c>
    </row>
    <row r="16" spans="2:6">
      <c r="B16" s="28" t="s">
        <v>39</v>
      </c>
      <c r="C16" s="26">
        <v>3</v>
      </c>
      <c r="E16" s="29" t="s">
        <v>137</v>
      </c>
      <c r="F16" s="26">
        <v>8</v>
      </c>
    </row>
    <row r="17" spans="2:6">
      <c r="B17" s="29" t="s">
        <v>50</v>
      </c>
      <c r="C17" s="26">
        <v>3</v>
      </c>
      <c r="E17" s="27" t="s">
        <v>2</v>
      </c>
      <c r="F17" s="26">
        <v>23</v>
      </c>
    </row>
    <row r="18" spans="2:6">
      <c r="B18" s="28" t="s">
        <v>101</v>
      </c>
      <c r="C18" s="26">
        <v>7</v>
      </c>
      <c r="E18" s="28" t="s">
        <v>39</v>
      </c>
      <c r="F18" s="26">
        <v>11</v>
      </c>
    </row>
    <row r="19" spans="2:6">
      <c r="B19" s="29" t="s">
        <v>64</v>
      </c>
      <c r="C19" s="26">
        <v>4</v>
      </c>
      <c r="E19" s="29" t="s">
        <v>40</v>
      </c>
      <c r="F19" s="26">
        <v>1.5</v>
      </c>
    </row>
    <row r="20" spans="2:6">
      <c r="B20" s="29" t="s">
        <v>50</v>
      </c>
      <c r="C20" s="26">
        <v>3</v>
      </c>
      <c r="E20" s="29" t="s">
        <v>53</v>
      </c>
      <c r="F20" s="26">
        <v>4.5</v>
      </c>
    </row>
    <row r="21" spans="2:6">
      <c r="B21" s="27" t="s">
        <v>7</v>
      </c>
      <c r="C21" s="26">
        <v>5</v>
      </c>
      <c r="E21" s="29" t="s">
        <v>61</v>
      </c>
      <c r="F21" s="26">
        <v>2.5</v>
      </c>
    </row>
    <row r="22" spans="2:6">
      <c r="B22" s="28" t="s">
        <v>39</v>
      </c>
      <c r="C22" s="26">
        <v>5</v>
      </c>
      <c r="E22" s="29" t="s">
        <v>173</v>
      </c>
      <c r="F22" s="26">
        <v>2</v>
      </c>
    </row>
    <row r="23" spans="2:6">
      <c r="B23" s="29" t="s">
        <v>36</v>
      </c>
      <c r="C23" s="26">
        <v>1</v>
      </c>
      <c r="E23" s="29" t="s">
        <v>142</v>
      </c>
      <c r="F23" s="26">
        <v>0.5</v>
      </c>
    </row>
    <row r="24" spans="2:6">
      <c r="B24" s="29" t="s">
        <v>50</v>
      </c>
      <c r="C24" s="26">
        <v>4</v>
      </c>
      <c r="E24" s="28" t="s">
        <v>101</v>
      </c>
      <c r="F24" s="26">
        <v>12</v>
      </c>
    </row>
    <row r="25" spans="2:6">
      <c r="B25" s="27" t="s">
        <v>2</v>
      </c>
      <c r="C25" s="26">
        <v>23</v>
      </c>
      <c r="E25" s="29" t="s">
        <v>40</v>
      </c>
      <c r="F25" s="26">
        <v>3.5</v>
      </c>
    </row>
    <row r="26" spans="2:6">
      <c r="B26" s="28" t="s">
        <v>39</v>
      </c>
      <c r="C26" s="26">
        <v>11</v>
      </c>
      <c r="E26" s="29" t="s">
        <v>61</v>
      </c>
      <c r="F26" s="26">
        <v>8.5</v>
      </c>
    </row>
    <row r="27" spans="2:6">
      <c r="B27" s="29" t="s">
        <v>54</v>
      </c>
      <c r="C27" s="26">
        <v>2.5</v>
      </c>
      <c r="E27" s="27" t="s">
        <v>5</v>
      </c>
      <c r="F27" s="26">
        <v>10</v>
      </c>
    </row>
    <row r="28" spans="2:6">
      <c r="B28" s="29" t="s">
        <v>50</v>
      </c>
      <c r="C28" s="26">
        <v>8.5</v>
      </c>
      <c r="E28" s="28" t="s">
        <v>39</v>
      </c>
      <c r="F28" s="26">
        <v>3</v>
      </c>
    </row>
    <row r="29" spans="2:6">
      <c r="B29" s="28" t="s">
        <v>101</v>
      </c>
      <c r="C29" s="26">
        <v>12</v>
      </c>
      <c r="E29" s="29" t="s">
        <v>53</v>
      </c>
      <c r="F29" s="26">
        <v>3</v>
      </c>
    </row>
    <row r="30" spans="2:6">
      <c r="B30" s="29" t="s">
        <v>54</v>
      </c>
      <c r="C30" s="26">
        <v>0.75</v>
      </c>
      <c r="E30" s="28" t="s">
        <v>101</v>
      </c>
      <c r="F30" s="26">
        <v>7</v>
      </c>
    </row>
    <row r="31" spans="2:6">
      <c r="B31" s="29" t="s">
        <v>104</v>
      </c>
      <c r="C31" s="26">
        <v>6.25</v>
      </c>
      <c r="E31" s="29" t="s">
        <v>40</v>
      </c>
      <c r="F31" s="26">
        <v>3</v>
      </c>
    </row>
    <row r="32" spans="2:6">
      <c r="B32" s="29" t="s">
        <v>73</v>
      </c>
      <c r="C32" s="26">
        <v>0.5</v>
      </c>
      <c r="E32" s="29" t="s">
        <v>137</v>
      </c>
      <c r="F32" s="26">
        <v>4</v>
      </c>
    </row>
    <row r="33" spans="2:6">
      <c r="B33" s="29" t="s">
        <v>50</v>
      </c>
      <c r="C33" s="26">
        <v>4.5</v>
      </c>
      <c r="E33" s="27" t="s">
        <v>7</v>
      </c>
      <c r="F33" s="26">
        <v>5</v>
      </c>
    </row>
    <row r="34" spans="2:6">
      <c r="B34" s="27" t="s">
        <v>173</v>
      </c>
      <c r="C34" s="26"/>
      <c r="E34" s="28" t="s">
        <v>39</v>
      </c>
      <c r="F34" s="26">
        <v>5</v>
      </c>
    </row>
    <row r="35" spans="2:6">
      <c r="B35" s="28" t="s">
        <v>173</v>
      </c>
      <c r="C35" s="26"/>
      <c r="E35" s="29" t="s">
        <v>40</v>
      </c>
      <c r="F35" s="26">
        <v>1</v>
      </c>
    </row>
    <row r="36" spans="2:6">
      <c r="B36" s="29" t="s">
        <v>173</v>
      </c>
      <c r="C36" s="26"/>
      <c r="E36" s="29" t="s">
        <v>61</v>
      </c>
      <c r="F36" s="26">
        <v>1.5</v>
      </c>
    </row>
    <row r="37" spans="2:6">
      <c r="B37" s="27" t="s">
        <v>174</v>
      </c>
      <c r="C37" s="26">
        <v>80.25</v>
      </c>
      <c r="E37" s="29" t="s">
        <v>142</v>
      </c>
      <c r="F37" s="26">
        <v>2.5</v>
      </c>
    </row>
    <row r="38" spans="2:6">
      <c r="E38" s="27" t="s">
        <v>174</v>
      </c>
      <c r="F38" s="26">
        <v>80.25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Props1.xml><?xml version="1.0" encoding="utf-8"?>
<ds:datastoreItem xmlns:ds="http://schemas.openxmlformats.org/officeDocument/2006/customXml" ds:itemID="{63149FC9-D1C1-4AC7-94E6-85E462BF32F1}"/>
</file>

<file path=customXml/itemProps2.xml><?xml version="1.0" encoding="utf-8"?>
<ds:datastoreItem xmlns:ds="http://schemas.openxmlformats.org/officeDocument/2006/customXml" ds:itemID="{0900532D-E4D5-44D8-A984-285863B16AFE}"/>
</file>

<file path=customXml/itemProps3.xml><?xml version="1.0" encoding="utf-8"?>
<ds:datastoreItem xmlns:ds="http://schemas.openxmlformats.org/officeDocument/2006/customXml" ds:itemID="{55448D21-BE2A-4C03-A3D0-D98DDB439246}"/>
</file>

<file path=customXml/itemProps4.xml><?xml version="1.0" encoding="utf-8"?>
<ds:datastoreItem xmlns:ds="http://schemas.openxmlformats.org/officeDocument/2006/customXml" ds:itemID="{B88BAA02-92C8-46CC-880B-167BB75E4C44}"/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2025-11-21T20:26:39Z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