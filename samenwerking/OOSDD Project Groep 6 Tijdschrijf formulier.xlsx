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imde\Downloads\samenwerking\"/>
    </mc:Choice>
  </mc:AlternateContent>
  <xr:revisionPtr revIDLastSave="0" documentId="13_ncr:1_{3DAB33C0-7C53-4F4D-AC89-CE8F0D787C0A}" xr6:coauthVersionLast="47" xr6:coauthVersionMax="47" xr10:uidLastSave="{00000000-0000-0000-0000-000000000000}"/>
  <bookViews>
    <workbookView xWindow="-108" yWindow="-108" windowWidth="23256" windowHeight="12456" tabRatio="768" firstSheet="1" activeTab="1" xr2:uid="{00000000-000D-0000-FFFF-FFFF00000000}"/>
  </bookViews>
  <sheets>
    <sheet name="Invulinstructie" sheetId="4" r:id="rId1"/>
    <sheet name="Uren" sheetId="1" r:id="rId2"/>
    <sheet name="Lijsten" sheetId="2" r:id="rId3"/>
    <sheet name="Samenvattingen" sheetId="3" r:id="rId4"/>
  </sheets>
  <definedNames>
    <definedName name="_xlcn.WorksheetConnection_OOSDDProjectGroepAAATijdschrijfformulier.xlsxNamenlijst" hidden="1">Namenlijst[]</definedName>
    <definedName name="Beheerproces">Lijsten!$C$16:$C$25</definedName>
    <definedName name="Implementatieproces">Lijsten!$C$36:$C$44</definedName>
    <definedName name="Ontwerpproces">Lijsten!$C$45:$C$52</definedName>
    <definedName name="Overig">Lijsten!$C$90</definedName>
    <definedName name="Requirementsanalyseproces">Lijsten!$C$53:$C$63</definedName>
    <definedName name="Scrumproces">Lijsten!$C$64:$C$89</definedName>
    <definedName name="Testproces">Lijsten!$C$26:$C$35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amenlijst" name="Namenlijst" connection="WorksheetConnection_OOSDD Project Groep AAA Tijdschrijf formulier.xlsx!Namenlijs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4D6A50-0ABC-459D-A6FF-801730E6719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42C77F-A702-4FE3-AADA-AF9346E2D526}" name="WorksheetConnection_OOSDD Project Groep AAA Tijdschrijf formulier.xlsx!Namenlijst" type="102" refreshedVersion="8" minRefreshableVersion="5">
    <extLst>
      <ext xmlns:x15="http://schemas.microsoft.com/office/spreadsheetml/2010/11/main" uri="{DE250136-89BD-433C-8126-D09CA5730AF9}">
        <x15:connection id="Namenlijst">
          <x15:rangePr sourceName="_xlcn.WorksheetConnection_OOSDDProjectGroepAAATijdschrijfformulier.xlsxNamenlijst"/>
        </x15:connection>
      </ext>
    </extLst>
  </connection>
</connections>
</file>

<file path=xl/sharedStrings.xml><?xml version="1.0" encoding="utf-8"?>
<sst xmlns="http://schemas.openxmlformats.org/spreadsheetml/2006/main" count="341" uniqueCount="136">
  <si>
    <t>Namenlijst</t>
  </si>
  <si>
    <t>Welkom bij het tijdschrijf formulier voor het OOSDD Project</t>
  </si>
  <si>
    <t>Tim</t>
  </si>
  <si>
    <t>Edward</t>
  </si>
  <si>
    <t>Voor de start van het project</t>
  </si>
  <si>
    <t>Kai</t>
  </si>
  <si>
    <t>1. Namenlijst</t>
  </si>
  <si>
    <t>Nicky</t>
  </si>
  <si>
    <t>Om met dit tijdschrijfformulier te beginnen dien je eerst de namen van de projectleden in de namenlijst te zetten.</t>
  </si>
  <si>
    <t>Deze namenlijst vind je hier.</t>
  </si>
  <si>
    <t>Vervang de namen van de docenten door de namen van je eigen teamleden</t>
  </si>
  <si>
    <t>2. Uren leegmaken</t>
  </si>
  <si>
    <t>Controleer of er geen voorbeeldinput staat op de Uren tab.</t>
  </si>
  <si>
    <t>Als deze er wel staat, gooi deze tabel leeg, alleen de blauwe kolommen!!</t>
  </si>
  <si>
    <t>Tijdens het project</t>
  </si>
  <si>
    <t>Als je werkzaamheden gedaan hebt voor het project registreer je deze op het uren tab.</t>
  </si>
  <si>
    <t>1. Selecteer je naam uit de dropdown</t>
  </si>
  <si>
    <t>2. Selecteer voor bij welk proces de werkzaamheden horen</t>
  </si>
  <si>
    <t>3. Selecter de vaardigheid waar de werkzaamheden onder vallen</t>
  </si>
  <si>
    <t>4. Geef een omschrijving van de werkzaamheden</t>
  </si>
  <si>
    <t>5. Vul de datum in</t>
  </si>
  <si>
    <t>6. Vul het aantal uren in</t>
  </si>
  <si>
    <t>7. Vul de sprint in waaraan je werkt.</t>
  </si>
  <si>
    <t>Tips voor het invullen van uren:</t>
  </si>
  <si>
    <t>Vul aan het einde van elke dag de sheet in, dat zorgt ervoor dat je goed bij bent.</t>
  </si>
  <si>
    <t>Vul ook de sheet in als je taak nog niet af is, het gaat om wat je die dag gedaan hebt.</t>
  </si>
  <si>
    <t>Ben je vergeten de sheet in te vullen? Doe het dan zo snel mogelijk en vul bij de datum de datum van de werkzaamheden in</t>
  </si>
  <si>
    <t>Heb je meerdere taken gedaan op 1 dag? Vul deze dan allemaal los in, zo kan je bij de samenvatttingen mooi zien waar je tijd aan besteed is.</t>
  </si>
  <si>
    <t>Naam</t>
  </si>
  <si>
    <t>Proces</t>
  </si>
  <si>
    <t>Vaaridigheid</t>
  </si>
  <si>
    <t>Omschrijving werkzaamheden</t>
  </si>
  <si>
    <t>Datum</t>
  </si>
  <si>
    <t>Uren</t>
  </si>
  <si>
    <t>Sprint nr</t>
  </si>
  <si>
    <t>Activiteit</t>
  </si>
  <si>
    <t>Requirementsanalyseproces</t>
  </si>
  <si>
    <t>Bestuderen  probleemstelling</t>
  </si>
  <si>
    <t>Analyse projectomschrijving en de oplossingsmogelijkheden</t>
  </si>
  <si>
    <t>Sprint 0</t>
  </si>
  <si>
    <t>Beschrijven stakeholders</t>
  </si>
  <si>
    <t>Analyse van de users en hun behoeftes &amp; de stakeholders</t>
  </si>
  <si>
    <t>Uitvragen requirements</t>
  </si>
  <si>
    <t>Opstellen van requirements</t>
  </si>
  <si>
    <t>Prioriteren requirements</t>
  </si>
  <si>
    <t>Vastleggen requirements</t>
  </si>
  <si>
    <t>Opsplitsen functionele en non-functionele requirements</t>
  </si>
  <si>
    <t>Maken domeinmodel</t>
  </si>
  <si>
    <t>Opstellen van het Functioneel ontwerp</t>
  </si>
  <si>
    <t>Vaardigheid</t>
  </si>
  <si>
    <t>Manage &amp; Control</t>
  </si>
  <si>
    <t>Beheerproces</t>
  </si>
  <si>
    <t>Fork maken</t>
  </si>
  <si>
    <t>Testen in pipeline</t>
  </si>
  <si>
    <t>Inrichten .gitignore</t>
  </si>
  <si>
    <t>Realiseren</t>
  </si>
  <si>
    <t>Mergen feature met PR</t>
  </si>
  <si>
    <t>Maken geversioneerde release</t>
  </si>
  <si>
    <t>Kiezen branchingstrategie</t>
  </si>
  <si>
    <t>Maken feature branch</t>
  </si>
  <si>
    <t>Opzetten testen in pipeline</t>
  </si>
  <si>
    <t>Doorvoeren PR naar dev</t>
  </si>
  <si>
    <t>Doorvoeren PR naar main</t>
  </si>
  <si>
    <t>Ontwerpen</t>
  </si>
  <si>
    <t>Testproces</t>
  </si>
  <si>
    <t>Gebruiken teststrategie</t>
  </si>
  <si>
    <t>Verzamelen testscenarios</t>
  </si>
  <si>
    <t>Verzamelen testcases</t>
  </si>
  <si>
    <t>Selecteren testsoort</t>
  </si>
  <si>
    <t>Opstellen schriftelijke testcase</t>
  </si>
  <si>
    <t>Opstellen geautomatiseerde test</t>
  </si>
  <si>
    <t>Uitvoeren handmatige test</t>
  </si>
  <si>
    <t>Uitvoeren geautomatiseerde test</t>
  </si>
  <si>
    <t>Adviseren</t>
  </si>
  <si>
    <t>Evalueren testresultaat</t>
  </si>
  <si>
    <t>Implementatieproces</t>
  </si>
  <si>
    <t>Structureer project</t>
  </si>
  <si>
    <t>Structureer code</t>
  </si>
  <si>
    <t>Toepassen taalconcepten</t>
  </si>
  <si>
    <t>Controleer aansluiting ontwerp</t>
  </si>
  <si>
    <t>Peerreviewen code</t>
  </si>
  <si>
    <t>Beredeneer keuze taalconcept</t>
  </si>
  <si>
    <t>Spoor fouten op</t>
  </si>
  <si>
    <t>Kies oplossing</t>
  </si>
  <si>
    <t>Voer oplossing door</t>
  </si>
  <si>
    <t>Ontwerpproces</t>
  </si>
  <si>
    <t>Uitleg werking systeem</t>
  </si>
  <si>
    <t>Toepassen modelleertechnieken</t>
  </si>
  <si>
    <t>Iteratief verfijnen ontwerp</t>
  </si>
  <si>
    <t>Controle communiceerbaarheid ontwerp</t>
  </si>
  <si>
    <t>Controle aansluiting requirements</t>
  </si>
  <si>
    <t>Controle toepassing ontwerptechnieken</t>
  </si>
  <si>
    <t>Ondersteunen bij ontwerpkeuzes</t>
  </si>
  <si>
    <t>Presenteren aanbevelingen</t>
  </si>
  <si>
    <t>Analyseren</t>
  </si>
  <si>
    <t>Detecteren mogelijke gebreken in requirements</t>
  </si>
  <si>
    <t>Bepalen haalbaarheid requirements</t>
  </si>
  <si>
    <t>Reviewen requirements</t>
  </si>
  <si>
    <t>Organiseren requirements</t>
  </si>
  <si>
    <t>SCRUM-proces</t>
  </si>
  <si>
    <t>Aangeven behoeften</t>
  </si>
  <si>
    <t>Aangeven grenzen</t>
  </si>
  <si>
    <t>Afstemmen op behoeften omgeving</t>
  </si>
  <si>
    <t>Opstellen productafspraken</t>
  </si>
  <si>
    <t>Vaststellen sprintdoel</t>
  </si>
  <si>
    <t>Bepalen werklast</t>
  </si>
  <si>
    <t>In kaart brengen afhankelijkheden</t>
  </si>
  <si>
    <t>Kiezen user stories</t>
  </si>
  <si>
    <t>Toevoegen taken aan user story</t>
  </si>
  <si>
    <t>Opstellen productbacklog</t>
  </si>
  <si>
    <t>Prioriteren productbacklog</t>
  </si>
  <si>
    <t>Toevoegen acceptatiecriteria</t>
  </si>
  <si>
    <t>Monitoren voortgang sprintdoel</t>
  </si>
  <si>
    <t>Uiten belemmeringen</t>
  </si>
  <si>
    <t>Inzichtelijk maken voortgang</t>
  </si>
  <si>
    <t>Oplossen belemmeringen</t>
  </si>
  <si>
    <t>Reviewen werk</t>
  </si>
  <si>
    <t>Ondersteunen teamlid</t>
  </si>
  <si>
    <t>Werk presenteren</t>
  </si>
  <si>
    <t>Ophalen feedback</t>
  </si>
  <si>
    <t>Feedback verwerken</t>
  </si>
  <si>
    <t>Kiezen werkvorm</t>
  </si>
  <si>
    <t>Feedback geven</t>
  </si>
  <si>
    <t>Feedback ontvangen</t>
  </si>
  <si>
    <t>Noteren actiepunten</t>
  </si>
  <si>
    <t>Verdeling over proces stappen</t>
  </si>
  <si>
    <t>Verdeling over HBO-I activiteiten</t>
  </si>
  <si>
    <t>Naam en Sprint</t>
  </si>
  <si>
    <t>Sum of Uren</t>
  </si>
  <si>
    <t>(leeg)</t>
  </si>
  <si>
    <t>Eindtotaal</t>
  </si>
  <si>
    <t>Scrumproces</t>
  </si>
  <si>
    <t>Scrumworkshop gevolgd</t>
  </si>
  <si>
    <t>Git aangemaakt</t>
  </si>
  <si>
    <t>Onderzoek en vragen gesteld om opdracht duidelijker te maken voor de groep.</t>
  </si>
  <si>
    <t>Al door requirements en functioneel ontwerp gekeken, feedback wacht tot morgen met product owner.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</si>
</sst>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3"/>
      <color theme="1"/>
      <name val="Aptos"/>
      <family val="2"/>
    </font>
    <font>
      <b/>
      <sz val="11"/>
      <color theme="0"/>
      <name val="Aptos"/>
      <family val="2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3" fillId="0" borderId="4" applyNumberFormat="0" applyFill="0" applyAlignment="0" applyProtection="0"/>
    <xf numFmtId="0" fontId="4" fillId="0" borderId="5" applyNumberFormat="0" applyFill="0" applyAlignment="0" applyProtection="0"/>
    <xf numFmtId="0" fontId="2" fillId="6" borderId="0" applyNumberFormat="0" applyBorder="0" applyAlignment="0" applyProtection="0"/>
  </cellStyleXfs>
  <cellXfs count="34">
    <xf numFmtId="0" fontId="0" fillId="0" borderId="0" xfId="0"/>
    <xf numFmtId="0" fontId="6" fillId="6" borderId="5" xfId="3" applyFont="1" applyFill="1" applyAlignment="1"/>
    <xf numFmtId="0" fontId="7" fillId="0" borderId="0" xfId="0" applyFont="1"/>
    <xf numFmtId="0" fontId="6" fillId="6" borderId="5" xfId="3" applyFont="1" applyFill="1"/>
    <xf numFmtId="0" fontId="8" fillId="0" borderId="0" xfId="1" applyFont="1"/>
    <xf numFmtId="0" fontId="7" fillId="5" borderId="0" xfId="0" applyFont="1" applyFill="1"/>
    <xf numFmtId="0" fontId="7" fillId="0" borderId="0" xfId="0" applyFont="1" applyAlignment="1">
      <alignment wrapText="1"/>
    </xf>
    <xf numFmtId="14" fontId="7" fillId="0" borderId="0" xfId="0" applyNumberFormat="1" applyFont="1"/>
    <xf numFmtId="2" fontId="7" fillId="0" borderId="0" xfId="0" applyNumberFormat="1" applyFont="1"/>
    <xf numFmtId="0" fontId="7" fillId="4" borderId="0" xfId="0" applyFont="1" applyFill="1"/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/>
    <xf numFmtId="0" fontId="10" fillId="0" borderId="1" xfId="0" applyFont="1" applyBorder="1" applyAlignment="1">
      <alignment vertical="top"/>
    </xf>
    <xf numFmtId="0" fontId="10" fillId="2" borderId="2" xfId="0" applyFont="1" applyFill="1" applyBorder="1" applyAlignment="1">
      <alignment vertical="top"/>
    </xf>
    <xf numFmtId="0" fontId="10" fillId="2" borderId="1" xfId="0" applyFont="1" applyFill="1" applyBorder="1" applyAlignment="1">
      <alignment vertical="top"/>
    </xf>
    <xf numFmtId="0" fontId="10" fillId="3" borderId="0" xfId="0" applyFont="1" applyFill="1" applyAlignment="1">
      <alignment vertical="top"/>
    </xf>
    <xf numFmtId="0" fontId="10" fillId="0" borderId="3" xfId="0" applyFont="1" applyBorder="1" applyAlignment="1">
      <alignment vertical="top"/>
    </xf>
    <xf numFmtId="0" fontId="10" fillId="0" borderId="0" xfId="0" applyFont="1" applyAlignment="1">
      <alignment wrapText="1"/>
    </xf>
    <xf numFmtId="0" fontId="2" fillId="6" borderId="5" xfId="4" applyBorder="1"/>
    <xf numFmtId="0" fontId="11" fillId="6" borderId="5" xfId="4" applyFont="1" applyBorder="1"/>
    <xf numFmtId="0" fontId="9" fillId="0" borderId="0" xfId="0" applyFont="1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3" xfId="0" applyBorder="1" applyAlignment="1">
      <alignment vertical="top"/>
    </xf>
    <xf numFmtId="0" fontId="13" fillId="0" borderId="0" xfId="0" pivotButton="1" applyFont="1"/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left" indent="2"/>
    </xf>
    <xf numFmtId="0" fontId="12" fillId="8" borderId="6" xfId="0" applyFont="1" applyFill="1" applyBorder="1"/>
    <xf numFmtId="0" fontId="7" fillId="9" borderId="6" xfId="0" applyFont="1" applyFill="1" applyBorder="1"/>
    <xf numFmtId="0" fontId="7" fillId="0" borderId="6" xfId="0" applyFont="1" applyBorder="1"/>
    <xf numFmtId="0" fontId="5" fillId="7" borderId="4" xfId="2" applyFont="1" applyFill="1" applyAlignment="1">
      <alignment horizontal="center"/>
    </xf>
  </cellXfs>
  <cellStyles count="5">
    <cellStyle name="20% - Accent1" xfId="4" builtinId="30"/>
    <cellStyle name="Hyperlink" xfId="1" builtinId="8"/>
    <cellStyle name="Kop 1" xfId="2" builtinId="16"/>
    <cellStyle name="Kop 2" xfId="3" builtinId="17"/>
    <cellStyle name="Standaard" xfId="0" builtinId="0"/>
  </cellStyles>
  <dxfs count="40"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1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strike val="0"/>
        <outline val="0"/>
        <shadow val="0"/>
        <vertAlign val="baseline"/>
        <sz val="10"/>
        <name val="Aptos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yyyy/mm/dd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4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ward Christiaan Popova" refreshedDate="45971.791840162034" createdVersion="8" refreshedVersion="8" minRefreshableVersion="3" recordCount="92" xr:uid="{4ABFEEE8-3AE0-40B1-8CFE-C134C7CA893C}">
  <cacheSource type="worksheet">
    <worksheetSource name="Timeform"/>
  </cacheSource>
  <cacheFields count="8">
    <cacheField name="Naam" numFmtId="0">
      <sharedItems containsNonDate="0" containsBlank="1" count="7">
        <m/>
        <s v="Ernst" u="1"/>
        <s v="Martijn" u="1"/>
        <s v="Maarten" u="1"/>
        <s v="Ward" u="1"/>
        <s v="Eltjo" u="1"/>
        <s v="Thomas" u="1"/>
      </sharedItems>
    </cacheField>
    <cacheField name="Proces" numFmtId="0">
      <sharedItems containsNonDate="0" containsBlank="1" count="9">
        <m/>
        <s v="Beheerproces" u="1"/>
        <s v="Implementatieproces" u="1"/>
        <s v="Ontwerpproces" u="1"/>
        <s v="Requirementsanalyseproces" u="1"/>
        <s v="Scrumproces" u="1"/>
        <s v="Overig" u="1"/>
        <s v="SCRUM_proces" u="1"/>
        <s v="Testproces" u="1"/>
      </sharedItems>
    </cacheField>
    <cacheField name="Vaaridigheid" numFmtId="0">
      <sharedItems containsNonDate="0" containsString="0" containsBlank="1"/>
    </cacheField>
    <cacheField name="Omschrijving werkzaamheden" numFmtId="0">
      <sharedItems containsNonDate="0" containsString="0" containsBlank="1"/>
    </cacheField>
    <cacheField name="Datum" numFmtId="14">
      <sharedItems containsNonDate="0" containsString="0" containsBlank="1"/>
    </cacheField>
    <cacheField name="Uren" numFmtId="2">
      <sharedItems containsNonDate="0" containsString="0" containsBlank="1"/>
    </cacheField>
    <cacheField name="Sprint nr" numFmtId="0">
      <sharedItems containsNonDate="0" containsString="0" containsBlank="1" containsNumber="1" containsInteger="1" minValue="1" maxValue="9" count="7">
        <m/>
        <n v="1" u="1"/>
        <n v="2" u="1"/>
        <n v="6" u="1"/>
        <n v="7" u="1"/>
        <n v="8" u="1"/>
        <n v="9" u="1"/>
      </sharedItems>
    </cacheField>
    <cacheField name="Activiteit" numFmtId="0">
      <sharedItems containsSemiMixedTypes="0" containsString="0" containsNumber="1" containsInteger="1" minValue="0" maxValue="0" count="1"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  <r>
    <x v="0"/>
    <x v="0"/>
    <m/>
    <m/>
    <m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66B07E-B47B-4B1F-9AE3-B36A9383C1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E3:F7" firstHeaderRow="1" firstDataRow="1" firstDataCol="1"/>
  <pivotFields count="8">
    <pivotField axis="axisRow" showAll="0">
      <items count="8">
        <item m="1" x="1"/>
        <item m="1" x="3"/>
        <item m="1" x="2"/>
        <item x="0"/>
        <item m="1" x="5"/>
        <item m="1" x="6"/>
        <item m="1" x="4"/>
        <item t="default"/>
      </items>
    </pivotField>
    <pivotField showAll="0"/>
    <pivotField showAll="0"/>
    <pivotField showAll="0"/>
    <pivotField showAll="0"/>
    <pivotField dataField="1" showAll="0"/>
    <pivotField axis="axisRow" showAll="0">
      <items count="8">
        <item m="1" x="1"/>
        <item m="1" x="2"/>
        <item m="1" x="3"/>
        <item m="1" x="4"/>
        <item m="1" x="5"/>
        <item m="1" x="6"/>
        <item x="0"/>
        <item t="default"/>
      </items>
    </pivotField>
    <pivotField axis="axisRow" showAll="0">
      <items count="2">
        <item x="0"/>
        <item t="default"/>
      </items>
    </pivotField>
  </pivotFields>
  <rowFields count="3">
    <field x="0"/>
    <field x="6"/>
    <field x="7"/>
  </rowFields>
  <rowItems count="4">
    <i>
      <x v="3"/>
    </i>
    <i r="1">
      <x v="6"/>
    </i>
    <i r="2">
      <x/>
    </i>
    <i t="grand">
      <x/>
    </i>
  </rowItems>
  <colItems count="1">
    <i/>
  </colItems>
  <dataFields count="1">
    <dataField name="Sum of Uren" fld="5" baseField="0" baseItem="0"/>
  </dataFields>
  <formats count="9">
    <format dxfId="8">
      <pivotArea type="all" dataOnly="0" outline="0" fieldPosition="0"/>
    </format>
    <format dxfId="7">
      <pivotArea outline="0" collapsedLevelsAreSubtotals="1" fieldPosition="0"/>
    </format>
    <format dxfId="6">
      <pivotArea field="0" type="button" dataOnly="0" labelOnly="1" outline="0" axis="axisRow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 selected="0">
            <x v="0"/>
          </reference>
          <reference field="6" count="1">
            <x v="0"/>
          </reference>
        </references>
      </pivotArea>
    </format>
    <format dxfId="2">
      <pivotArea dataOnly="0" labelOnly="1" fieldPosition="0">
        <references count="2">
          <reference field="0" count="1" selected="0">
            <x v="1"/>
          </reference>
          <reference field="6" count="2">
            <x v="0"/>
            <x v="1"/>
          </reference>
        </references>
      </pivotArea>
    </format>
    <format dxfId="1">
      <pivotArea dataOnly="0" labelOnly="1" fieldPosition="0">
        <references count="2">
          <reference field="0" count="1" selected="0">
            <x v="2"/>
          </reference>
          <reference field="6" count="1">
            <x v="0"/>
          </reference>
        </references>
      </pivotArea>
    </format>
    <format dxfId="0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6164-73B9-42AE-B078-B07C1586FAE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aam en Sprint">
  <location ref="B3:C7" firstHeaderRow="1" firstDataRow="1" firstDataCol="1"/>
  <pivotFields count="8">
    <pivotField axis="axisRow" showAll="0" sortType="ascending">
      <items count="8">
        <item m="1" x="5"/>
        <item m="1" x="1"/>
        <item m="1" x="3"/>
        <item m="1" x="2"/>
        <item m="1" x="6"/>
        <item m="1" x="4"/>
        <item x="0"/>
        <item t="default"/>
      </items>
    </pivotField>
    <pivotField axis="axisRow" showAll="0">
      <items count="10">
        <item m="1" x="1"/>
        <item m="1" x="2"/>
        <item m="1" x="3"/>
        <item m="1" x="4"/>
        <item x="0"/>
        <item m="1" x="8"/>
        <item m="1" x="7"/>
        <item m="1" x="6"/>
        <item m="1" x="5"/>
        <item t="default"/>
      </items>
    </pivotField>
    <pivotField showAll="0"/>
    <pivotField showAll="0"/>
    <pivotField showAll="0"/>
    <pivotField dataField="1" showAll="0"/>
    <pivotField axis="axisRow" showAll="0">
      <items count="8">
        <item m="1" x="1"/>
        <item m="1" x="3"/>
        <item m="1" x="4"/>
        <item m="1" x="5"/>
        <item m="1" x="6"/>
        <item x="0"/>
        <item m="1" x="2"/>
        <item t="default"/>
      </items>
    </pivotField>
    <pivotField showAll="0"/>
  </pivotFields>
  <rowFields count="3">
    <field x="0"/>
    <field x="6"/>
    <field x="1"/>
  </rowFields>
  <rowItems count="4">
    <i>
      <x v="6"/>
    </i>
    <i r="1">
      <x v="5"/>
    </i>
    <i r="2">
      <x v="4"/>
    </i>
    <i t="grand">
      <x/>
    </i>
  </rowItems>
  <colItems count="1">
    <i/>
  </colItems>
  <dataFields count="1">
    <dataField name="Sum of Uren" fld="5" baseField="0" baseItem="0"/>
  </dataFields>
  <formats count="13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0" count="1" selected="0">
            <x v="1"/>
          </reference>
          <reference field="6" count="1">
            <x v="0"/>
          </reference>
        </references>
      </pivotArea>
    </format>
    <format dxfId="15">
      <pivotArea dataOnly="0" labelOnly="1" fieldPosition="0">
        <references count="2">
          <reference field="0" count="1" selected="0">
            <x v="2"/>
          </reference>
          <reference field="6" count="2">
            <x v="0"/>
            <x v="6"/>
          </reference>
        </references>
      </pivotArea>
    </format>
    <format dxfId="14">
      <pivotArea dataOnly="0" labelOnly="1" fieldPosition="0">
        <references count="2">
          <reference field="0" count="1" selected="0">
            <x v="3"/>
          </reference>
          <reference field="6" count="1">
            <x v="0"/>
          </reference>
        </references>
      </pivotArea>
    </format>
    <format dxfId="13">
      <pivotArea dataOnly="0" labelOnly="1" fieldPosition="0">
        <references count="3">
          <reference field="0" count="1" selected="0">
            <x v="1"/>
          </reference>
          <reference field="1" count="3">
            <x v="0"/>
            <x v="1"/>
            <x v="3"/>
          </reference>
          <reference field="6" count="1" selected="0">
            <x v="0"/>
          </reference>
        </references>
      </pivotArea>
    </format>
    <format dxfId="12">
      <pivotArea dataOnly="0" labelOnly="1" fieldPosition="0">
        <references count="3">
          <reference field="0" count="1" selected="0">
            <x v="2"/>
          </reference>
          <reference field="1" count="2">
            <x v="2"/>
            <x v="8"/>
          </reference>
          <reference field="6" count="1" selected="0">
            <x v="0"/>
          </reference>
        </references>
      </pivotArea>
    </format>
    <format dxfId="11">
      <pivotArea dataOnly="0" labelOnly="1" fieldPosition="0">
        <references count="3">
          <reference field="0" count="1" selected="0">
            <x v="2"/>
          </reference>
          <reference field="1" count="1">
            <x v="3"/>
          </reference>
          <reference field="6" count="1" selected="0">
            <x v="6"/>
          </reference>
        </references>
      </pivotArea>
    </format>
    <format dxfId="10">
      <pivotArea dataOnly="0" labelOnly="1" fieldPosition="0">
        <references count="3">
          <reference field="0" count="1" selected="0">
            <x v="3"/>
          </reference>
          <reference field="1" count="2">
            <x v="1"/>
            <x v="3"/>
          </reference>
          <reference field="6" count="1" selected="0">
            <x v="0"/>
          </reference>
        </references>
      </pivotArea>
    </format>
    <format dxfId="9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AAA221-70D5-432F-95A4-0A8FEE9B4953}" name="Timeform" displayName="Timeform" ref="B3:I95" totalsRowShown="0" headerRowDxfId="39" dataDxfId="38">
  <autoFilter ref="B3:I95" xr:uid="{79AAA221-70D5-432F-95A4-0A8FEE9B4953}"/>
  <tableColumns count="8">
    <tableColumn id="1" xr3:uid="{CDB853C4-8B99-45B3-AB11-6A49753D7D4D}" name="Naam" dataDxfId="37"/>
    <tableColumn id="2" xr3:uid="{EF52A3E8-5142-4BF3-82D6-0C49558CFCD4}" name="Proces" dataDxfId="36"/>
    <tableColumn id="3" xr3:uid="{63D7F1F9-49FD-43EF-94F6-834B0CD90DBB}" name="Vaaridigheid" dataDxfId="35"/>
    <tableColumn id="5" xr3:uid="{3BA8D563-80A8-4EB1-BA4E-66A3757E6E85}" name="Omschrijving werkzaamheden" dataDxfId="34"/>
    <tableColumn id="6" xr3:uid="{8FD0FAC1-D86A-4307-B9E6-23C37AA7A39B}" name="Datum" dataDxfId="33"/>
    <tableColumn id="7" xr3:uid="{FF9A6FE2-9D20-48DC-A9A7-6B57B166662A}" name="Uren" dataDxfId="32"/>
    <tableColumn id="8" xr3:uid="{92AE8BB0-5292-436F-83A4-3979F860B8D5}" name="Sprint nr" dataDxfId="31"/>
    <tableColumn id="9" xr3:uid="{CEB58FA4-C1C7-4A6E-B0F7-8175456DF6D5}" name="Activiteit" dataDxfId="30">
      <calculatedColumnFormula>_xlfn.XLOOKUP(Timeform[[#This Row],[Vaaridigheid]],Lijsten!C:C,Lijsten!A:A)</calculatedColumnFormula>
    </tableColumn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F63294-7F50-4B98-AE1D-CA3FAE874F12}" name="Processen" displayName="Processen" ref="A15:C90" totalsRowShown="0" headerRowDxfId="29" dataDxfId="28">
  <autoFilter ref="A15:C90" xr:uid="{EEF63294-7F50-4B98-AE1D-CA3FAE874F12}"/>
  <tableColumns count="3">
    <tableColumn id="1" xr3:uid="{683524EE-0252-4046-9AB1-180DCBA069F6}" name="Activiteit" dataDxfId="27"/>
    <tableColumn id="2" xr3:uid="{30B73AA4-5A3C-4879-8CD6-67F92E14BDBB}" name="Proces" dataDxfId="26"/>
    <tableColumn id="3" xr3:uid="{9BC1FBA8-C134-4F59-B9C1-59C10AFA5446}" name="Vaardigheid" dataDxfId="25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C210E0-338E-4322-B6CB-0AFD215867A7}" name="Namenlijst" displayName="Namenlijst" ref="A2:A8" totalsRowShown="0" headerRowDxfId="24" dataDxfId="23">
  <autoFilter ref="A2:A8" xr:uid="{C4C210E0-338E-4322-B6CB-0AFD215867A7}"/>
  <tableColumns count="1">
    <tableColumn id="1" xr3:uid="{2EC5413A-080D-42BE-89F8-EDBA37965822}" name="Namenlijst" dataDxfId="22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E0D6-BAD0-4969-9429-41E01DBF32C3}">
  <dimension ref="B2:N29"/>
  <sheetViews>
    <sheetView workbookViewId="0">
      <selection activeCell="B8" sqref="B8"/>
    </sheetView>
  </sheetViews>
  <sheetFormatPr defaultColWidth="8.88671875" defaultRowHeight="14.4" x14ac:dyDescent="0.3"/>
  <cols>
    <col min="1" max="13" width="8.88671875" style="2"/>
    <col min="14" max="14" width="19.5546875" style="2" customWidth="1"/>
    <col min="15" max="16384" width="8.88671875" style="2"/>
  </cols>
  <sheetData>
    <row r="2" spans="2:14" x14ac:dyDescent="0.3">
      <c r="N2" s="30" t="s">
        <v>0</v>
      </c>
    </row>
    <row r="3" spans="2:14" ht="20.399999999999999" thickBot="1" x14ac:dyDescent="0.45">
      <c r="B3" s="33" t="s">
        <v>1</v>
      </c>
      <c r="C3" s="33"/>
      <c r="D3" s="33"/>
      <c r="E3" s="33"/>
      <c r="F3" s="33"/>
      <c r="G3" s="33"/>
      <c r="H3" s="33"/>
      <c r="I3" s="33"/>
      <c r="J3" s="33"/>
      <c r="N3" s="31" t="s">
        <v>2</v>
      </c>
    </row>
    <row r="4" spans="2:14" ht="15" thickTop="1" x14ac:dyDescent="0.3">
      <c r="N4" s="32" t="s">
        <v>3</v>
      </c>
    </row>
    <row r="5" spans="2:14" ht="18" thickBot="1" x14ac:dyDescent="0.4">
      <c r="B5" s="1" t="s">
        <v>4</v>
      </c>
      <c r="C5" s="1"/>
      <c r="D5" s="1"/>
      <c r="E5" s="3"/>
      <c r="F5" s="3"/>
      <c r="G5" s="3"/>
      <c r="H5" s="3"/>
      <c r="I5" s="3"/>
      <c r="J5" s="3"/>
      <c r="N5" s="31" t="s">
        <v>5</v>
      </c>
    </row>
    <row r="6" spans="2:14" ht="15" thickTop="1" x14ac:dyDescent="0.3">
      <c r="B6" s="2" t="s">
        <v>6</v>
      </c>
      <c r="N6" s="32" t="s">
        <v>7</v>
      </c>
    </row>
    <row r="7" spans="2:14" x14ac:dyDescent="0.3">
      <c r="B7" s="2" t="s">
        <v>8</v>
      </c>
    </row>
    <row r="8" spans="2:14" x14ac:dyDescent="0.3">
      <c r="B8" s="4" t="s">
        <v>9</v>
      </c>
    </row>
    <row r="9" spans="2:14" x14ac:dyDescent="0.3">
      <c r="B9" s="2" t="s">
        <v>10</v>
      </c>
    </row>
    <row r="11" spans="2:14" x14ac:dyDescent="0.3">
      <c r="B11" s="2" t="s">
        <v>11</v>
      </c>
    </row>
    <row r="12" spans="2:14" x14ac:dyDescent="0.3">
      <c r="B12" s="2" t="s">
        <v>12</v>
      </c>
    </row>
    <row r="13" spans="2:14" x14ac:dyDescent="0.3">
      <c r="B13" s="2" t="s">
        <v>13</v>
      </c>
    </row>
    <row r="15" spans="2:14" ht="18" thickBot="1" x14ac:dyDescent="0.4">
      <c r="B15" s="20" t="s">
        <v>14</v>
      </c>
      <c r="C15" s="19"/>
      <c r="D15" s="19"/>
      <c r="E15" s="19"/>
      <c r="F15" s="19"/>
      <c r="G15" s="19"/>
      <c r="H15" s="19"/>
      <c r="I15" s="19"/>
      <c r="J15" s="19"/>
    </row>
    <row r="16" spans="2:14" ht="15" thickTop="1" x14ac:dyDescent="0.3">
      <c r="B16" s="2" t="s">
        <v>15</v>
      </c>
    </row>
    <row r="17" spans="2:2" x14ac:dyDescent="0.3">
      <c r="B17" s="2" t="s">
        <v>16</v>
      </c>
    </row>
    <row r="18" spans="2:2" x14ac:dyDescent="0.3">
      <c r="B18" s="2" t="s">
        <v>17</v>
      </c>
    </row>
    <row r="19" spans="2:2" x14ac:dyDescent="0.3">
      <c r="B19" s="2" t="s">
        <v>18</v>
      </c>
    </row>
    <row r="20" spans="2:2" x14ac:dyDescent="0.3">
      <c r="B20" s="2" t="s">
        <v>19</v>
      </c>
    </row>
    <row r="21" spans="2:2" x14ac:dyDescent="0.3">
      <c r="B21" s="2" t="s">
        <v>20</v>
      </c>
    </row>
    <row r="22" spans="2:2" x14ac:dyDescent="0.3">
      <c r="B22" s="2" t="s">
        <v>21</v>
      </c>
    </row>
    <row r="23" spans="2:2" x14ac:dyDescent="0.3">
      <c r="B23" s="2" t="s">
        <v>22</v>
      </c>
    </row>
    <row r="25" spans="2:2" x14ac:dyDescent="0.3">
      <c r="B25" s="21" t="s">
        <v>23</v>
      </c>
    </row>
    <row r="26" spans="2:2" x14ac:dyDescent="0.3">
      <c r="B26" s="2" t="s">
        <v>24</v>
      </c>
    </row>
    <row r="27" spans="2:2" x14ac:dyDescent="0.3">
      <c r="B27" s="2" t="s">
        <v>25</v>
      </c>
    </row>
    <row r="28" spans="2:2" x14ac:dyDescent="0.3">
      <c r="B28" s="2" t="s">
        <v>26</v>
      </c>
    </row>
    <row r="29" spans="2:2" x14ac:dyDescent="0.3">
      <c r="B29" s="2" t="s">
        <v>27</v>
      </c>
    </row>
  </sheetData>
  <mergeCells count="1">
    <mergeCell ref="B3:J3"/>
  </mergeCells>
  <hyperlinks>
    <hyperlink ref="B8" location="Lijsten!A2" display="Deze namenlijst vind je hier: " xr:uid="{5BDDD42D-7AA5-4E1B-813E-ED795D021B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95"/>
  <sheetViews>
    <sheetView tabSelected="1" zoomScale="88" workbookViewId="0">
      <selection activeCell="E20" sqref="E20"/>
    </sheetView>
  </sheetViews>
  <sheetFormatPr defaultColWidth="8.88671875" defaultRowHeight="14.4" x14ac:dyDescent="0.3"/>
  <cols>
    <col min="1" max="1" width="8.88671875" style="2"/>
    <col min="2" max="2" width="12.109375" style="2" customWidth="1"/>
    <col min="3" max="3" width="29.109375" style="2" customWidth="1"/>
    <col min="4" max="4" width="52.109375" style="2" customWidth="1"/>
    <col min="5" max="5" width="42.88671875" style="2" customWidth="1"/>
    <col min="6" max="6" width="12.44140625" style="2" customWidth="1"/>
    <col min="7" max="7" width="8.88671875" style="2"/>
    <col min="8" max="8" width="10.5546875" style="2" customWidth="1"/>
    <col min="9" max="9" width="16.5546875" style="2" bestFit="1" customWidth="1"/>
    <col min="10" max="16384" width="8.88671875" style="2"/>
  </cols>
  <sheetData>
    <row r="3" spans="2:9" x14ac:dyDescent="0.3"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5" t="s">
        <v>35</v>
      </c>
    </row>
    <row r="4" spans="2:9" ht="28.8" x14ac:dyDescent="0.3">
      <c r="B4" s="2" t="s">
        <v>3</v>
      </c>
      <c r="C4" s="2" t="s">
        <v>36</v>
      </c>
      <c r="D4" s="6" t="s">
        <v>37</v>
      </c>
      <c r="E4" s="6" t="s">
        <v>38</v>
      </c>
      <c r="F4" s="7">
        <v>45971</v>
      </c>
      <c r="G4" s="8">
        <v>0.5</v>
      </c>
      <c r="H4" s="2" t="s">
        <v>39</v>
      </c>
      <c r="I4" s="9" t="str">
        <f>_xlfn.XLOOKUP(Timeform[[#This Row],[Vaaridigheid]],Lijsten!C:C,Lijsten!A:A)</f>
        <v>Analyseren</v>
      </c>
    </row>
    <row r="5" spans="2:9" ht="28.8" x14ac:dyDescent="0.3">
      <c r="B5" s="2" t="s">
        <v>3</v>
      </c>
      <c r="C5" s="2" t="s">
        <v>36</v>
      </c>
      <c r="D5" s="6" t="s">
        <v>40</v>
      </c>
      <c r="E5" s="6" t="s">
        <v>41</v>
      </c>
      <c r="F5" s="7">
        <v>45971</v>
      </c>
      <c r="G5" s="8">
        <v>1</v>
      </c>
      <c r="H5" s="2" t="s">
        <v>39</v>
      </c>
      <c r="I5" s="9" t="str">
        <f>_xlfn.XLOOKUP(Timeform[[#This Row],[Vaaridigheid]],Lijsten!C:C,Lijsten!A:A)</f>
        <v>Analyseren</v>
      </c>
    </row>
    <row r="6" spans="2:9" x14ac:dyDescent="0.3">
      <c r="B6" s="2" t="s">
        <v>3</v>
      </c>
      <c r="C6" s="2" t="s">
        <v>36</v>
      </c>
      <c r="D6" s="6" t="s">
        <v>42</v>
      </c>
      <c r="E6" s="6" t="s">
        <v>43</v>
      </c>
      <c r="F6" s="7">
        <v>45971</v>
      </c>
      <c r="G6" s="8">
        <v>0.5</v>
      </c>
      <c r="H6" s="2" t="s">
        <v>39</v>
      </c>
      <c r="I6" s="9" t="str">
        <f>_xlfn.XLOOKUP(Timeform[[#This Row],[Vaaridigheid]],Lijsten!C:C,Lijsten!A:A)</f>
        <v>Analyseren</v>
      </c>
    </row>
    <row r="7" spans="2:9" x14ac:dyDescent="0.3">
      <c r="B7" s="2" t="s">
        <v>3</v>
      </c>
      <c r="C7" s="2" t="s">
        <v>36</v>
      </c>
      <c r="D7" s="6" t="s">
        <v>44</v>
      </c>
      <c r="E7" s="6" t="s">
        <v>43</v>
      </c>
      <c r="F7" s="7">
        <v>45971</v>
      </c>
      <c r="G7" s="8">
        <v>0.5</v>
      </c>
      <c r="H7" s="2" t="s">
        <v>39</v>
      </c>
      <c r="I7" s="9" t="str">
        <f>_xlfn.XLOOKUP(Timeform[[#This Row],[Vaaridigheid]],Lijsten!C:C,Lijsten!A:A)</f>
        <v>Analyseren</v>
      </c>
    </row>
    <row r="8" spans="2:9" x14ac:dyDescent="0.3">
      <c r="B8" s="2" t="s">
        <v>3</v>
      </c>
      <c r="C8" s="2" t="s">
        <v>36</v>
      </c>
      <c r="D8" s="6" t="s">
        <v>45</v>
      </c>
      <c r="E8" s="6" t="s">
        <v>43</v>
      </c>
      <c r="F8" s="7">
        <v>45971</v>
      </c>
      <c r="G8" s="8">
        <v>1</v>
      </c>
      <c r="H8" s="2" t="s">
        <v>39</v>
      </c>
      <c r="I8" s="9" t="str">
        <f>_xlfn.XLOOKUP(Timeform[[#This Row],[Vaaridigheid]],Lijsten!C:C,Lijsten!A:A)</f>
        <v>Analyseren</v>
      </c>
    </row>
    <row r="9" spans="2:9" x14ac:dyDescent="0.3">
      <c r="B9" s="2" t="s">
        <v>3</v>
      </c>
      <c r="C9" s="2" t="s">
        <v>36</v>
      </c>
      <c r="D9" s="6" t="s">
        <v>46</v>
      </c>
      <c r="E9" s="6" t="s">
        <v>43</v>
      </c>
      <c r="F9" s="7">
        <v>45971</v>
      </c>
      <c r="G9" s="8">
        <v>0.5</v>
      </c>
      <c r="H9" s="2" t="s">
        <v>39</v>
      </c>
      <c r="I9" s="9" t="str">
        <f>_xlfn.XLOOKUP(Timeform[[#This Row],[Vaaridigheid]],Lijsten!C:C,Lijsten!A:A)</f>
        <v>Analyseren</v>
      </c>
    </row>
    <row r="10" spans="2:9" x14ac:dyDescent="0.3">
      <c r="B10" s="2" t="s">
        <v>3</v>
      </c>
      <c r="C10" s="2" t="s">
        <v>36</v>
      </c>
      <c r="D10" s="6" t="s">
        <v>47</v>
      </c>
      <c r="E10" s="6" t="s">
        <v>48</v>
      </c>
      <c r="F10" s="7">
        <v>45971</v>
      </c>
      <c r="G10" s="8">
        <v>1.5</v>
      </c>
      <c r="H10" s="2" t="s">
        <v>39</v>
      </c>
      <c r="I10" s="9" t="str">
        <f>_xlfn.XLOOKUP(Timeform[[#This Row],[Vaaridigheid]],Lijsten!C:C,Lijsten!A:A)</f>
        <v>Analyseren</v>
      </c>
    </row>
    <row r="11" spans="2:9" x14ac:dyDescent="0.3">
      <c r="B11" s="2" t="s">
        <v>2</v>
      </c>
      <c r="C11" s="2" t="s">
        <v>131</v>
      </c>
      <c r="D11" s="6" t="s">
        <v>100</v>
      </c>
      <c r="E11" s="6" t="s">
        <v>132</v>
      </c>
      <c r="F11" s="7">
        <v>45972</v>
      </c>
      <c r="G11" s="8">
        <v>3</v>
      </c>
      <c r="H11" s="2" t="s">
        <v>39</v>
      </c>
      <c r="I11" s="9" t="str">
        <f>_xlfn.XLOOKUP(Timeform[[#This Row],[Vaaridigheid]],Lijsten!C:C,Lijsten!A:A)</f>
        <v>Manage &amp; Control</v>
      </c>
    </row>
    <row r="12" spans="2:9" x14ac:dyDescent="0.3">
      <c r="B12" s="2" t="s">
        <v>3</v>
      </c>
      <c r="C12" s="2" t="s">
        <v>131</v>
      </c>
      <c r="D12" s="6" t="s">
        <v>100</v>
      </c>
      <c r="E12" s="6" t="s">
        <v>132</v>
      </c>
      <c r="F12" s="7">
        <v>45972</v>
      </c>
      <c r="G12" s="8">
        <v>3</v>
      </c>
      <c r="H12" s="2" t="s">
        <v>39</v>
      </c>
      <c r="I12" s="9" t="str">
        <f>_xlfn.XLOOKUP(Timeform[[#This Row],[Vaaridigheid]],Lijsten!C:C,Lijsten!A:A)</f>
        <v>Manage &amp; Control</v>
      </c>
    </row>
    <row r="13" spans="2:9" x14ac:dyDescent="0.3">
      <c r="B13" s="2" t="s">
        <v>5</v>
      </c>
      <c r="C13" s="2" t="s">
        <v>131</v>
      </c>
      <c r="D13" s="6" t="s">
        <v>100</v>
      </c>
      <c r="E13" s="6" t="s">
        <v>132</v>
      </c>
      <c r="F13" s="7">
        <v>45972</v>
      </c>
      <c r="G13" s="8">
        <v>3</v>
      </c>
      <c r="H13" s="2" t="s">
        <v>39</v>
      </c>
      <c r="I13" s="9" t="str">
        <f>_xlfn.XLOOKUP(Timeform[[#This Row],[Vaaridigheid]],Lijsten!C:C,Lijsten!A:A)</f>
        <v>Manage &amp; Control</v>
      </c>
    </row>
    <row r="14" spans="2:9" x14ac:dyDescent="0.3">
      <c r="B14" s="2" t="s">
        <v>2</v>
      </c>
      <c r="C14" s="2" t="s">
        <v>51</v>
      </c>
      <c r="D14" s="6" t="s">
        <v>52</v>
      </c>
      <c r="E14" s="6" t="s">
        <v>133</v>
      </c>
      <c r="F14" s="7">
        <v>45972</v>
      </c>
      <c r="G14" s="8">
        <v>1</v>
      </c>
      <c r="H14" s="2" t="s">
        <v>39</v>
      </c>
      <c r="I14" s="9" t="str">
        <f>_xlfn.XLOOKUP(Timeform[[#This Row],[Vaaridigheid]],Lijsten!C:C,Lijsten!A:A)</f>
        <v>Manage &amp; Control</v>
      </c>
    </row>
    <row r="15" spans="2:9" ht="28.8" x14ac:dyDescent="0.3">
      <c r="B15" s="2" t="s">
        <v>2</v>
      </c>
      <c r="C15" s="2" t="s">
        <v>131</v>
      </c>
      <c r="D15" s="6" t="s">
        <v>105</v>
      </c>
      <c r="E15" s="6" t="s">
        <v>134</v>
      </c>
      <c r="F15" s="7">
        <v>45972</v>
      </c>
      <c r="G15" s="8">
        <v>1</v>
      </c>
      <c r="H15" s="2" t="s">
        <v>39</v>
      </c>
      <c r="I15" s="9" t="str">
        <f>_xlfn.XLOOKUP(Timeform[[#This Row],[Vaaridigheid]],Lijsten!C:C,Lijsten!A:A)</f>
        <v>Analyseren</v>
      </c>
    </row>
    <row r="16" spans="2:9" ht="43.2" x14ac:dyDescent="0.3">
      <c r="B16" s="2" t="s">
        <v>2</v>
      </c>
      <c r="C16" s="2" t="s">
        <v>131</v>
      </c>
      <c r="D16" s="6" t="s">
        <v>116</v>
      </c>
      <c r="E16" s="6" t="s">
        <v>135</v>
      </c>
      <c r="F16" s="7">
        <v>45972</v>
      </c>
      <c r="G16" s="8">
        <v>0.75</v>
      </c>
      <c r="H16" s="2" t="s">
        <v>39</v>
      </c>
      <c r="I16" s="9" t="str">
        <f>_xlfn.XLOOKUP(Timeform[[#This Row],[Vaaridigheid]],Lijsten!C:C,Lijsten!A:A)</f>
        <v>Realiseren</v>
      </c>
    </row>
    <row r="17" spans="4:9" x14ac:dyDescent="0.3">
      <c r="D17" s="6"/>
      <c r="E17" s="6"/>
      <c r="F17" s="7"/>
      <c r="G17" s="8"/>
      <c r="I17" s="9">
        <f>_xlfn.XLOOKUP(Timeform[[#This Row],[Vaaridigheid]],Lijsten!C:C,Lijsten!A:A)</f>
        <v>0</v>
      </c>
    </row>
    <row r="18" spans="4:9" x14ac:dyDescent="0.3">
      <c r="D18" s="6"/>
      <c r="E18" s="6"/>
      <c r="F18" s="7"/>
      <c r="G18" s="8"/>
      <c r="I18" s="9">
        <f>_xlfn.XLOOKUP(Timeform[[#This Row],[Vaaridigheid]],Lijsten!C:C,Lijsten!A:A)</f>
        <v>0</v>
      </c>
    </row>
    <row r="19" spans="4:9" x14ac:dyDescent="0.3">
      <c r="D19" s="6"/>
      <c r="E19" s="6"/>
      <c r="F19" s="7"/>
      <c r="G19" s="8"/>
      <c r="I19" s="9">
        <f>_xlfn.XLOOKUP(Timeform[[#This Row],[Vaaridigheid]],Lijsten!C:C,Lijsten!A:A)</f>
        <v>0</v>
      </c>
    </row>
    <row r="20" spans="4:9" x14ac:dyDescent="0.3">
      <c r="D20" s="6"/>
      <c r="E20" s="6"/>
      <c r="F20" s="7"/>
      <c r="G20" s="8"/>
      <c r="I20" s="9">
        <f>_xlfn.XLOOKUP(Timeform[[#This Row],[Vaaridigheid]],Lijsten!C:C,Lijsten!A:A)</f>
        <v>0</v>
      </c>
    </row>
    <row r="21" spans="4:9" x14ac:dyDescent="0.3">
      <c r="D21" s="6"/>
      <c r="E21" s="6"/>
      <c r="F21" s="7"/>
      <c r="G21" s="8"/>
      <c r="I21" s="9">
        <f>_xlfn.XLOOKUP(Timeform[[#This Row],[Vaaridigheid]],Lijsten!C:C,Lijsten!A:A)</f>
        <v>0</v>
      </c>
    </row>
    <row r="22" spans="4:9" x14ac:dyDescent="0.3">
      <c r="D22" s="6"/>
      <c r="E22" s="6"/>
      <c r="F22" s="7"/>
      <c r="G22" s="8"/>
      <c r="I22" s="9">
        <f>_xlfn.XLOOKUP(Timeform[[#This Row],[Vaaridigheid]],Lijsten!C:C,Lijsten!A:A)</f>
        <v>0</v>
      </c>
    </row>
    <row r="23" spans="4:9" x14ac:dyDescent="0.3">
      <c r="D23" s="6"/>
      <c r="E23" s="6"/>
      <c r="F23" s="7"/>
      <c r="G23" s="8"/>
      <c r="I23" s="9">
        <f>_xlfn.XLOOKUP(Timeform[[#This Row],[Vaaridigheid]],Lijsten!C:C,Lijsten!A:A)</f>
        <v>0</v>
      </c>
    </row>
    <row r="24" spans="4:9" x14ac:dyDescent="0.3">
      <c r="D24" s="6"/>
      <c r="E24" s="6"/>
      <c r="F24" s="7"/>
      <c r="G24" s="8"/>
      <c r="I24" s="9">
        <f>_xlfn.XLOOKUP(Timeform[[#This Row],[Vaaridigheid]],Lijsten!C:C,Lijsten!A:A)</f>
        <v>0</v>
      </c>
    </row>
    <row r="25" spans="4:9" x14ac:dyDescent="0.3">
      <c r="D25" s="6"/>
      <c r="E25" s="6"/>
      <c r="F25" s="7"/>
      <c r="G25" s="8"/>
      <c r="I25" s="9">
        <f>_xlfn.XLOOKUP(Timeform[[#This Row],[Vaaridigheid]],Lijsten!C:C,Lijsten!A:A)</f>
        <v>0</v>
      </c>
    </row>
    <row r="26" spans="4:9" x14ac:dyDescent="0.3">
      <c r="D26" s="6"/>
      <c r="E26" s="6"/>
      <c r="F26" s="7"/>
      <c r="G26" s="8"/>
      <c r="I26" s="9">
        <f>_xlfn.XLOOKUP(Timeform[[#This Row],[Vaaridigheid]],Lijsten!C:C,Lijsten!A:A)</f>
        <v>0</v>
      </c>
    </row>
    <row r="27" spans="4:9" x14ac:dyDescent="0.3">
      <c r="D27" s="6"/>
      <c r="E27" s="6"/>
      <c r="F27" s="7"/>
      <c r="G27" s="8"/>
      <c r="I27" s="9">
        <f>_xlfn.XLOOKUP(Timeform[[#This Row],[Vaaridigheid]],Lijsten!C:C,Lijsten!A:A)</f>
        <v>0</v>
      </c>
    </row>
    <row r="28" spans="4:9" x14ac:dyDescent="0.3">
      <c r="D28" s="6"/>
      <c r="E28" s="6"/>
      <c r="F28" s="7"/>
      <c r="G28" s="8"/>
      <c r="I28" s="9">
        <f>_xlfn.XLOOKUP(Timeform[[#This Row],[Vaaridigheid]],Lijsten!C:C,Lijsten!A:A)</f>
        <v>0</v>
      </c>
    </row>
    <row r="29" spans="4:9" x14ac:dyDescent="0.3">
      <c r="D29" s="6"/>
      <c r="E29" s="6"/>
      <c r="F29" s="7"/>
      <c r="G29" s="8"/>
      <c r="I29" s="9">
        <f>_xlfn.XLOOKUP(Timeform[[#This Row],[Vaaridigheid]],Lijsten!C:C,Lijsten!A:A)</f>
        <v>0</v>
      </c>
    </row>
    <row r="30" spans="4:9" x14ac:dyDescent="0.3">
      <c r="D30" s="6"/>
      <c r="E30" s="6"/>
      <c r="F30" s="7"/>
      <c r="G30" s="8"/>
      <c r="I30" s="9">
        <f>_xlfn.XLOOKUP(Timeform[[#This Row],[Vaaridigheid]],Lijsten!C:C,Lijsten!A:A)</f>
        <v>0</v>
      </c>
    </row>
    <row r="31" spans="4:9" x14ac:dyDescent="0.3">
      <c r="D31" s="6"/>
      <c r="E31" s="6"/>
      <c r="F31" s="7"/>
      <c r="G31" s="8"/>
      <c r="I31" s="9">
        <f>_xlfn.XLOOKUP(Timeform[[#This Row],[Vaaridigheid]],Lijsten!C:C,Lijsten!A:A)</f>
        <v>0</v>
      </c>
    </row>
    <row r="32" spans="4:9" x14ac:dyDescent="0.3">
      <c r="D32" s="6"/>
      <c r="E32" s="6"/>
      <c r="F32" s="7"/>
      <c r="G32" s="8"/>
      <c r="I32" s="9">
        <f>_xlfn.XLOOKUP(Timeform[[#This Row],[Vaaridigheid]],Lijsten!C:C,Lijsten!A:A)</f>
        <v>0</v>
      </c>
    </row>
    <row r="33" spans="4:9" x14ac:dyDescent="0.3">
      <c r="D33" s="6"/>
      <c r="E33" s="6"/>
      <c r="F33" s="7"/>
      <c r="G33" s="8"/>
      <c r="I33" s="9">
        <f>_xlfn.XLOOKUP(Timeform[[#This Row],[Vaaridigheid]],Lijsten!C:C,Lijsten!A:A)</f>
        <v>0</v>
      </c>
    </row>
    <row r="34" spans="4:9" x14ac:dyDescent="0.3">
      <c r="D34" s="6"/>
      <c r="E34" s="6"/>
      <c r="F34" s="7"/>
      <c r="G34" s="8"/>
      <c r="I34" s="9">
        <f>_xlfn.XLOOKUP(Timeform[[#This Row],[Vaaridigheid]],Lijsten!C:C,Lijsten!A:A)</f>
        <v>0</v>
      </c>
    </row>
    <row r="35" spans="4:9" x14ac:dyDescent="0.3">
      <c r="D35" s="6"/>
      <c r="E35" s="6"/>
      <c r="F35" s="7"/>
      <c r="G35" s="8"/>
      <c r="I35" s="9">
        <f>_xlfn.XLOOKUP(Timeform[[#This Row],[Vaaridigheid]],Lijsten!C:C,Lijsten!A:A)</f>
        <v>0</v>
      </c>
    </row>
    <row r="36" spans="4:9" x14ac:dyDescent="0.3">
      <c r="D36" s="6"/>
      <c r="E36" s="6"/>
      <c r="F36" s="7"/>
      <c r="G36" s="8"/>
      <c r="I36" s="9">
        <f>_xlfn.XLOOKUP(Timeform[[#This Row],[Vaaridigheid]],Lijsten!C:C,Lijsten!A:A)</f>
        <v>0</v>
      </c>
    </row>
    <row r="37" spans="4:9" x14ac:dyDescent="0.3">
      <c r="D37" s="6"/>
      <c r="E37" s="6"/>
      <c r="F37" s="7"/>
      <c r="G37" s="8"/>
      <c r="I37" s="9">
        <f>_xlfn.XLOOKUP(Timeform[[#This Row],[Vaaridigheid]],Lijsten!C:C,Lijsten!A:A)</f>
        <v>0</v>
      </c>
    </row>
    <row r="38" spans="4:9" x14ac:dyDescent="0.3">
      <c r="D38" s="6"/>
      <c r="E38" s="6"/>
      <c r="F38" s="7"/>
      <c r="G38" s="8"/>
      <c r="I38" s="9">
        <f>_xlfn.XLOOKUP(Timeform[[#This Row],[Vaaridigheid]],Lijsten!C:C,Lijsten!A:A)</f>
        <v>0</v>
      </c>
    </row>
    <row r="39" spans="4:9" x14ac:dyDescent="0.3">
      <c r="D39" s="6"/>
      <c r="E39" s="6"/>
      <c r="F39" s="7"/>
      <c r="G39" s="8"/>
      <c r="I39" s="9">
        <f>_xlfn.XLOOKUP(Timeform[[#This Row],[Vaaridigheid]],Lijsten!C:C,Lijsten!A:A)</f>
        <v>0</v>
      </c>
    </row>
    <row r="40" spans="4:9" x14ac:dyDescent="0.3">
      <c r="D40" s="6"/>
      <c r="E40" s="6"/>
      <c r="F40" s="7"/>
      <c r="G40" s="8"/>
      <c r="I40" s="9">
        <f>_xlfn.XLOOKUP(Timeform[[#This Row],[Vaaridigheid]],Lijsten!C:C,Lijsten!A:A)</f>
        <v>0</v>
      </c>
    </row>
    <row r="41" spans="4:9" x14ac:dyDescent="0.3">
      <c r="D41" s="6"/>
      <c r="E41" s="6"/>
      <c r="F41" s="7"/>
      <c r="G41" s="8"/>
      <c r="I41" s="9">
        <f>_xlfn.XLOOKUP(Timeform[[#This Row],[Vaaridigheid]],Lijsten!C:C,Lijsten!A:A)</f>
        <v>0</v>
      </c>
    </row>
    <row r="42" spans="4:9" x14ac:dyDescent="0.3">
      <c r="D42" s="6"/>
      <c r="E42" s="6"/>
      <c r="F42" s="7"/>
      <c r="G42" s="8"/>
      <c r="I42" s="9">
        <f>_xlfn.XLOOKUP(Timeform[[#This Row],[Vaaridigheid]],Lijsten!C:C,Lijsten!A:A)</f>
        <v>0</v>
      </c>
    </row>
    <row r="43" spans="4:9" x14ac:dyDescent="0.3">
      <c r="D43" s="6"/>
      <c r="E43" s="6"/>
      <c r="F43" s="7"/>
      <c r="G43" s="8"/>
      <c r="I43" s="9">
        <f>_xlfn.XLOOKUP(Timeform[[#This Row],[Vaaridigheid]],Lijsten!C:C,Lijsten!A:A)</f>
        <v>0</v>
      </c>
    </row>
    <row r="44" spans="4:9" x14ac:dyDescent="0.3">
      <c r="D44" s="6"/>
      <c r="E44" s="6"/>
      <c r="F44" s="7"/>
      <c r="G44" s="8"/>
      <c r="I44" s="9">
        <f>_xlfn.XLOOKUP(Timeform[[#This Row],[Vaaridigheid]],Lijsten!C:C,Lijsten!A:A)</f>
        <v>0</v>
      </c>
    </row>
    <row r="45" spans="4:9" x14ac:dyDescent="0.3">
      <c r="D45" s="6"/>
      <c r="E45" s="6"/>
      <c r="F45" s="7"/>
      <c r="G45" s="8"/>
      <c r="I45" s="9">
        <f>_xlfn.XLOOKUP(Timeform[[#This Row],[Vaaridigheid]],Lijsten!C:C,Lijsten!A:A)</f>
        <v>0</v>
      </c>
    </row>
    <row r="46" spans="4:9" x14ac:dyDescent="0.3">
      <c r="D46" s="6"/>
      <c r="E46" s="6"/>
      <c r="F46" s="7"/>
      <c r="G46" s="8"/>
      <c r="I46" s="9">
        <f>_xlfn.XLOOKUP(Timeform[[#This Row],[Vaaridigheid]],Lijsten!C:C,Lijsten!A:A)</f>
        <v>0</v>
      </c>
    </row>
    <row r="47" spans="4:9" x14ac:dyDescent="0.3">
      <c r="D47" s="6"/>
      <c r="E47" s="6"/>
      <c r="F47" s="7"/>
      <c r="G47" s="8"/>
      <c r="I47" s="9">
        <f>_xlfn.XLOOKUP(Timeform[[#This Row],[Vaaridigheid]],Lijsten!C:C,Lijsten!A:A)</f>
        <v>0</v>
      </c>
    </row>
    <row r="48" spans="4:9" x14ac:dyDescent="0.3">
      <c r="D48" s="6"/>
      <c r="E48" s="6"/>
      <c r="F48" s="7"/>
      <c r="G48" s="8"/>
      <c r="I48" s="9">
        <f>_xlfn.XLOOKUP(Timeform[[#This Row],[Vaaridigheid]],Lijsten!C:C,Lijsten!A:A)</f>
        <v>0</v>
      </c>
    </row>
    <row r="49" spans="4:9" x14ac:dyDescent="0.3">
      <c r="D49" s="6"/>
      <c r="E49" s="6"/>
      <c r="F49" s="7"/>
      <c r="G49" s="8"/>
      <c r="I49" s="9">
        <f>_xlfn.XLOOKUP(Timeform[[#This Row],[Vaaridigheid]],Lijsten!C:C,Lijsten!A:A)</f>
        <v>0</v>
      </c>
    </row>
    <row r="50" spans="4:9" x14ac:dyDescent="0.3">
      <c r="D50" s="6"/>
      <c r="E50" s="6"/>
      <c r="F50" s="7"/>
      <c r="G50" s="8"/>
      <c r="I50" s="9">
        <f>_xlfn.XLOOKUP(Timeform[[#This Row],[Vaaridigheid]],Lijsten!C:C,Lijsten!A:A)</f>
        <v>0</v>
      </c>
    </row>
    <row r="51" spans="4:9" x14ac:dyDescent="0.3">
      <c r="D51" s="6"/>
      <c r="E51" s="6"/>
      <c r="F51" s="7"/>
      <c r="G51" s="8"/>
      <c r="I51" s="9">
        <f>_xlfn.XLOOKUP(Timeform[[#This Row],[Vaaridigheid]],Lijsten!C:C,Lijsten!A:A)</f>
        <v>0</v>
      </c>
    </row>
    <row r="52" spans="4:9" x14ac:dyDescent="0.3">
      <c r="D52" s="6"/>
      <c r="E52" s="6"/>
      <c r="F52" s="7"/>
      <c r="G52" s="8"/>
      <c r="I52" s="9">
        <f>_xlfn.XLOOKUP(Timeform[[#This Row],[Vaaridigheid]],Lijsten!C:C,Lijsten!A:A)</f>
        <v>0</v>
      </c>
    </row>
    <row r="53" spans="4:9" x14ac:dyDescent="0.3">
      <c r="D53" s="6"/>
      <c r="E53" s="6"/>
      <c r="F53" s="7"/>
      <c r="G53" s="8"/>
      <c r="I53" s="9">
        <f>_xlfn.XLOOKUP(Timeform[[#This Row],[Vaaridigheid]],Lijsten!C:C,Lijsten!A:A)</f>
        <v>0</v>
      </c>
    </row>
    <row r="54" spans="4:9" x14ac:dyDescent="0.3">
      <c r="D54" s="6"/>
      <c r="E54" s="6"/>
      <c r="F54" s="7"/>
      <c r="G54" s="8"/>
      <c r="I54" s="9">
        <f>_xlfn.XLOOKUP(Timeform[[#This Row],[Vaaridigheid]],Lijsten!C:C,Lijsten!A:A)</f>
        <v>0</v>
      </c>
    </row>
    <row r="55" spans="4:9" x14ac:dyDescent="0.3">
      <c r="D55" s="6"/>
      <c r="E55" s="6"/>
      <c r="F55" s="7"/>
      <c r="G55" s="8"/>
      <c r="I55" s="9">
        <f>_xlfn.XLOOKUP(Timeform[[#This Row],[Vaaridigheid]],Lijsten!C:C,Lijsten!A:A)</f>
        <v>0</v>
      </c>
    </row>
    <row r="56" spans="4:9" x14ac:dyDescent="0.3">
      <c r="D56" s="6"/>
      <c r="E56" s="6"/>
      <c r="F56" s="7"/>
      <c r="G56" s="8"/>
      <c r="I56" s="9">
        <f>_xlfn.XLOOKUP(Timeform[[#This Row],[Vaaridigheid]],Lijsten!C:C,Lijsten!A:A)</f>
        <v>0</v>
      </c>
    </row>
    <row r="57" spans="4:9" x14ac:dyDescent="0.3">
      <c r="D57" s="6"/>
      <c r="E57" s="6"/>
      <c r="F57" s="7"/>
      <c r="G57" s="8"/>
      <c r="I57" s="9">
        <f>_xlfn.XLOOKUP(Timeform[[#This Row],[Vaaridigheid]],Lijsten!C:C,Lijsten!A:A)</f>
        <v>0</v>
      </c>
    </row>
    <row r="58" spans="4:9" x14ac:dyDescent="0.3">
      <c r="D58" s="6"/>
      <c r="E58" s="6"/>
      <c r="F58" s="7"/>
      <c r="G58" s="8"/>
      <c r="I58" s="9">
        <f>_xlfn.XLOOKUP(Timeform[[#This Row],[Vaaridigheid]],Lijsten!C:C,Lijsten!A:A)</f>
        <v>0</v>
      </c>
    </row>
    <row r="59" spans="4:9" x14ac:dyDescent="0.3">
      <c r="D59" s="6"/>
      <c r="E59" s="6"/>
      <c r="F59" s="7"/>
      <c r="G59" s="8"/>
      <c r="I59" s="9">
        <f>_xlfn.XLOOKUP(Timeform[[#This Row],[Vaaridigheid]],Lijsten!C:C,Lijsten!A:A)</f>
        <v>0</v>
      </c>
    </row>
    <row r="60" spans="4:9" x14ac:dyDescent="0.3">
      <c r="D60" s="6"/>
      <c r="E60" s="6"/>
      <c r="F60" s="7"/>
      <c r="G60" s="8"/>
      <c r="I60" s="9">
        <f>_xlfn.XLOOKUP(Timeform[[#This Row],[Vaaridigheid]],Lijsten!C:C,Lijsten!A:A)</f>
        <v>0</v>
      </c>
    </row>
    <row r="61" spans="4:9" x14ac:dyDescent="0.3">
      <c r="D61" s="6"/>
      <c r="E61" s="6"/>
      <c r="F61" s="7"/>
      <c r="G61" s="8"/>
      <c r="I61" s="9">
        <f>_xlfn.XLOOKUP(Timeform[[#This Row],[Vaaridigheid]],Lijsten!C:C,Lijsten!A:A)</f>
        <v>0</v>
      </c>
    </row>
    <row r="62" spans="4:9" x14ac:dyDescent="0.3">
      <c r="D62" s="6"/>
      <c r="E62" s="6"/>
      <c r="F62" s="7"/>
      <c r="G62" s="8"/>
      <c r="I62" s="9">
        <f>_xlfn.XLOOKUP(Timeform[[#This Row],[Vaaridigheid]],Lijsten!C:C,Lijsten!A:A)</f>
        <v>0</v>
      </c>
    </row>
    <row r="63" spans="4:9" x14ac:dyDescent="0.3">
      <c r="D63" s="6"/>
      <c r="E63" s="6"/>
      <c r="F63" s="7"/>
      <c r="G63" s="8"/>
      <c r="I63" s="9">
        <f>_xlfn.XLOOKUP(Timeform[[#This Row],[Vaaridigheid]],Lijsten!C:C,Lijsten!A:A)</f>
        <v>0</v>
      </c>
    </row>
    <row r="64" spans="4:9" x14ac:dyDescent="0.3">
      <c r="D64" s="6"/>
      <c r="E64" s="6"/>
      <c r="F64" s="7"/>
      <c r="G64" s="8"/>
      <c r="I64" s="9">
        <f>_xlfn.XLOOKUP(Timeform[[#This Row],[Vaaridigheid]],Lijsten!C:C,Lijsten!A:A)</f>
        <v>0</v>
      </c>
    </row>
    <row r="65" spans="4:9" x14ac:dyDescent="0.3">
      <c r="D65" s="6"/>
      <c r="E65" s="6"/>
      <c r="F65" s="7"/>
      <c r="G65" s="8"/>
      <c r="I65" s="9">
        <f>_xlfn.XLOOKUP(Timeform[[#This Row],[Vaaridigheid]],Lijsten!C:C,Lijsten!A:A)</f>
        <v>0</v>
      </c>
    </row>
    <row r="66" spans="4:9" x14ac:dyDescent="0.3">
      <c r="D66" s="6"/>
      <c r="E66" s="6"/>
      <c r="F66" s="7"/>
      <c r="G66" s="8"/>
      <c r="I66" s="9">
        <f>_xlfn.XLOOKUP(Timeform[[#This Row],[Vaaridigheid]],Lijsten!C:C,Lijsten!A:A)</f>
        <v>0</v>
      </c>
    </row>
    <row r="67" spans="4:9" x14ac:dyDescent="0.3">
      <c r="D67" s="6"/>
      <c r="E67" s="6"/>
      <c r="F67" s="7"/>
      <c r="G67" s="8"/>
      <c r="I67" s="9">
        <f>_xlfn.XLOOKUP(Timeform[[#This Row],[Vaaridigheid]],Lijsten!C:C,Lijsten!A:A)</f>
        <v>0</v>
      </c>
    </row>
    <row r="68" spans="4:9" x14ac:dyDescent="0.3">
      <c r="D68" s="6"/>
      <c r="E68" s="6"/>
      <c r="F68" s="7"/>
      <c r="G68" s="8"/>
      <c r="I68" s="9">
        <f>_xlfn.XLOOKUP(Timeform[[#This Row],[Vaaridigheid]],Lijsten!C:C,Lijsten!A:A)</f>
        <v>0</v>
      </c>
    </row>
    <row r="69" spans="4:9" x14ac:dyDescent="0.3">
      <c r="D69" s="6"/>
      <c r="E69" s="6"/>
      <c r="F69" s="7"/>
      <c r="G69" s="8"/>
      <c r="I69" s="9">
        <f>_xlfn.XLOOKUP(Timeform[[#This Row],[Vaaridigheid]],Lijsten!C:C,Lijsten!A:A)</f>
        <v>0</v>
      </c>
    </row>
    <row r="70" spans="4:9" x14ac:dyDescent="0.3">
      <c r="D70" s="6"/>
      <c r="E70" s="6"/>
      <c r="F70" s="7"/>
      <c r="G70" s="8"/>
      <c r="I70" s="9">
        <f>_xlfn.XLOOKUP(Timeform[[#This Row],[Vaaridigheid]],Lijsten!C:C,Lijsten!A:A)</f>
        <v>0</v>
      </c>
    </row>
    <row r="71" spans="4:9" x14ac:dyDescent="0.3">
      <c r="D71" s="6"/>
      <c r="E71" s="6"/>
      <c r="F71" s="7"/>
      <c r="G71" s="8"/>
      <c r="I71" s="9">
        <f>_xlfn.XLOOKUP(Timeform[[#This Row],[Vaaridigheid]],Lijsten!C:C,Lijsten!A:A)</f>
        <v>0</v>
      </c>
    </row>
    <row r="72" spans="4:9" x14ac:dyDescent="0.3">
      <c r="D72" s="6"/>
      <c r="E72" s="6"/>
      <c r="F72" s="7"/>
      <c r="G72" s="8"/>
      <c r="I72" s="9">
        <f>_xlfn.XLOOKUP(Timeform[[#This Row],[Vaaridigheid]],Lijsten!C:C,Lijsten!A:A)</f>
        <v>0</v>
      </c>
    </row>
    <row r="73" spans="4:9" x14ac:dyDescent="0.3">
      <c r="D73" s="6"/>
      <c r="E73" s="6"/>
      <c r="F73" s="7"/>
      <c r="G73" s="8"/>
      <c r="I73" s="9">
        <f>_xlfn.XLOOKUP(Timeform[[#This Row],[Vaaridigheid]],Lijsten!C:C,Lijsten!A:A)</f>
        <v>0</v>
      </c>
    </row>
    <row r="74" spans="4:9" x14ac:dyDescent="0.3">
      <c r="D74" s="6"/>
      <c r="E74" s="6"/>
      <c r="F74" s="7"/>
      <c r="G74" s="8"/>
      <c r="I74" s="9">
        <f>_xlfn.XLOOKUP(Timeform[[#This Row],[Vaaridigheid]],Lijsten!C:C,Lijsten!A:A)</f>
        <v>0</v>
      </c>
    </row>
    <row r="75" spans="4:9" x14ac:dyDescent="0.3">
      <c r="D75" s="6"/>
      <c r="E75" s="6"/>
      <c r="F75" s="7"/>
      <c r="G75" s="8"/>
      <c r="I75" s="9">
        <f>_xlfn.XLOOKUP(Timeform[[#This Row],[Vaaridigheid]],Lijsten!C:C,Lijsten!A:A)</f>
        <v>0</v>
      </c>
    </row>
    <row r="76" spans="4:9" x14ac:dyDescent="0.3">
      <c r="D76" s="6"/>
      <c r="E76" s="6"/>
      <c r="F76" s="7"/>
      <c r="G76" s="8"/>
      <c r="I76" s="9">
        <f>_xlfn.XLOOKUP(Timeform[[#This Row],[Vaaridigheid]],Lijsten!C:C,Lijsten!A:A)</f>
        <v>0</v>
      </c>
    </row>
    <row r="77" spans="4:9" x14ac:dyDescent="0.3">
      <c r="D77" s="6"/>
      <c r="E77" s="6"/>
      <c r="F77" s="7"/>
      <c r="G77" s="8"/>
      <c r="I77" s="9">
        <f>_xlfn.XLOOKUP(Timeform[[#This Row],[Vaaridigheid]],Lijsten!C:C,Lijsten!A:A)</f>
        <v>0</v>
      </c>
    </row>
    <row r="78" spans="4:9" x14ac:dyDescent="0.3">
      <c r="D78" s="6"/>
      <c r="E78" s="6"/>
      <c r="F78" s="7"/>
      <c r="G78" s="8"/>
      <c r="I78" s="9">
        <f>_xlfn.XLOOKUP(Timeform[[#This Row],[Vaaridigheid]],Lijsten!C:C,Lijsten!A:A)</f>
        <v>0</v>
      </c>
    </row>
    <row r="79" spans="4:9" x14ac:dyDescent="0.3">
      <c r="D79" s="6"/>
      <c r="E79" s="6"/>
      <c r="F79" s="7"/>
      <c r="G79" s="8"/>
      <c r="I79" s="9">
        <f>_xlfn.XLOOKUP(Timeform[[#This Row],[Vaaridigheid]],Lijsten!C:C,Lijsten!A:A)</f>
        <v>0</v>
      </c>
    </row>
    <row r="80" spans="4:9" x14ac:dyDescent="0.3">
      <c r="D80" s="6"/>
      <c r="E80" s="6"/>
      <c r="F80" s="7"/>
      <c r="G80" s="8"/>
      <c r="I80" s="9">
        <f>_xlfn.XLOOKUP(Timeform[[#This Row],[Vaaridigheid]],Lijsten!C:C,Lijsten!A:A)</f>
        <v>0</v>
      </c>
    </row>
    <row r="81" spans="4:9" x14ac:dyDescent="0.3">
      <c r="D81" s="6"/>
      <c r="E81" s="6"/>
      <c r="F81" s="7"/>
      <c r="G81" s="8"/>
      <c r="I81" s="9">
        <f>_xlfn.XLOOKUP(Timeform[[#This Row],[Vaaridigheid]],Lijsten!C:C,Lijsten!A:A)</f>
        <v>0</v>
      </c>
    </row>
    <row r="82" spans="4:9" x14ac:dyDescent="0.3">
      <c r="D82" s="6"/>
      <c r="E82" s="6"/>
      <c r="F82" s="7"/>
      <c r="G82" s="8"/>
      <c r="I82" s="9">
        <f>_xlfn.XLOOKUP(Timeform[[#This Row],[Vaaridigheid]],Lijsten!C:C,Lijsten!A:A)</f>
        <v>0</v>
      </c>
    </row>
    <row r="83" spans="4:9" x14ac:dyDescent="0.3">
      <c r="D83" s="6"/>
      <c r="E83" s="6"/>
      <c r="F83" s="7"/>
      <c r="G83" s="8"/>
      <c r="I83" s="9">
        <f>_xlfn.XLOOKUP(Timeform[[#This Row],[Vaaridigheid]],Lijsten!C:C,Lijsten!A:A)</f>
        <v>0</v>
      </c>
    </row>
    <row r="84" spans="4:9" x14ac:dyDescent="0.3">
      <c r="D84" s="6"/>
      <c r="E84" s="6"/>
      <c r="F84" s="7"/>
      <c r="G84" s="8"/>
      <c r="I84" s="9">
        <f>_xlfn.XLOOKUP(Timeform[[#This Row],[Vaaridigheid]],Lijsten!C:C,Lijsten!A:A)</f>
        <v>0</v>
      </c>
    </row>
    <row r="85" spans="4:9" x14ac:dyDescent="0.3">
      <c r="D85" s="6"/>
      <c r="E85" s="6"/>
      <c r="F85" s="7"/>
      <c r="G85" s="8"/>
      <c r="I85" s="9">
        <f>_xlfn.XLOOKUP(Timeform[[#This Row],[Vaaridigheid]],Lijsten!C:C,Lijsten!A:A)</f>
        <v>0</v>
      </c>
    </row>
    <row r="86" spans="4:9" x14ac:dyDescent="0.3">
      <c r="D86" s="6"/>
      <c r="E86" s="6"/>
      <c r="F86" s="7"/>
      <c r="G86" s="8"/>
      <c r="I86" s="9">
        <f>_xlfn.XLOOKUP(Timeform[[#This Row],[Vaaridigheid]],Lijsten!C:C,Lijsten!A:A)</f>
        <v>0</v>
      </c>
    </row>
    <row r="87" spans="4:9" x14ac:dyDescent="0.3">
      <c r="D87" s="6"/>
      <c r="E87" s="6"/>
      <c r="F87" s="7"/>
      <c r="G87" s="8"/>
      <c r="I87" s="9">
        <f>_xlfn.XLOOKUP(Timeform[[#This Row],[Vaaridigheid]],Lijsten!C:C,Lijsten!A:A)</f>
        <v>0</v>
      </c>
    </row>
    <row r="88" spans="4:9" x14ac:dyDescent="0.3">
      <c r="D88" s="6"/>
      <c r="E88" s="6"/>
      <c r="F88" s="7"/>
      <c r="G88" s="8"/>
      <c r="I88" s="9">
        <f>_xlfn.XLOOKUP(Timeform[[#This Row],[Vaaridigheid]],Lijsten!C:C,Lijsten!A:A)</f>
        <v>0</v>
      </c>
    </row>
    <row r="89" spans="4:9" x14ac:dyDescent="0.3">
      <c r="D89" s="6"/>
      <c r="E89" s="6"/>
      <c r="F89" s="7"/>
      <c r="G89" s="8"/>
      <c r="I89" s="9">
        <f>_xlfn.XLOOKUP(Timeform[[#This Row],[Vaaridigheid]],Lijsten!C:C,Lijsten!A:A)</f>
        <v>0</v>
      </c>
    </row>
    <row r="90" spans="4:9" x14ac:dyDescent="0.3">
      <c r="D90" s="6"/>
      <c r="E90" s="6"/>
      <c r="F90" s="7"/>
      <c r="G90" s="8"/>
      <c r="I90" s="9">
        <f>_xlfn.XLOOKUP(Timeform[[#This Row],[Vaaridigheid]],Lijsten!C:C,Lijsten!A:A)</f>
        <v>0</v>
      </c>
    </row>
    <row r="91" spans="4:9" x14ac:dyDescent="0.3">
      <c r="D91" s="6"/>
      <c r="E91" s="6"/>
      <c r="F91" s="7"/>
      <c r="G91" s="8"/>
      <c r="I91" s="9">
        <f>_xlfn.XLOOKUP(Timeform[[#This Row],[Vaaridigheid]],Lijsten!C:C,Lijsten!A:A)</f>
        <v>0</v>
      </c>
    </row>
    <row r="92" spans="4:9" x14ac:dyDescent="0.3">
      <c r="D92" s="6"/>
      <c r="E92" s="6"/>
      <c r="F92" s="7"/>
      <c r="G92" s="8"/>
      <c r="I92" s="9">
        <f>_xlfn.XLOOKUP(Timeform[[#This Row],[Vaaridigheid]],Lijsten!C:C,Lijsten!A:A)</f>
        <v>0</v>
      </c>
    </row>
    <row r="93" spans="4:9" x14ac:dyDescent="0.3">
      <c r="D93" s="6"/>
      <c r="E93" s="6"/>
      <c r="F93" s="7"/>
      <c r="G93" s="8"/>
      <c r="I93" s="9">
        <f>_xlfn.XLOOKUP(Timeform[[#This Row],[Vaaridigheid]],Lijsten!C:C,Lijsten!A:A)</f>
        <v>0</v>
      </c>
    </row>
    <row r="94" spans="4:9" x14ac:dyDescent="0.3">
      <c r="D94" s="6"/>
      <c r="E94" s="6"/>
      <c r="F94" s="7"/>
      <c r="G94" s="8"/>
      <c r="I94" s="9">
        <f>_xlfn.XLOOKUP(Timeform[[#This Row],[Vaaridigheid]],Lijsten!C:C,Lijsten!A:A)</f>
        <v>0</v>
      </c>
    </row>
    <row r="95" spans="4:9" x14ac:dyDescent="0.3">
      <c r="D95" s="6"/>
      <c r="E95" s="6"/>
      <c r="F95" s="7"/>
      <c r="G95" s="8"/>
      <c r="I95" s="9">
        <f>_xlfn.XLOOKUP(Timeform[[#This Row],[Vaaridigheid]],Lijsten!C:C,Lijsten!A:A)</f>
        <v>0</v>
      </c>
    </row>
  </sheetData>
  <dataValidations count="3">
    <dataValidation type="list" allowBlank="1" showInputMessage="1" showErrorMessage="1" sqref="C4:C95" xr:uid="{3B679F63-E7A4-46B9-9422-CC7BFD34CF75}">
      <formula1>INDIRECT("Processen[Proces]")</formula1>
    </dataValidation>
    <dataValidation type="list" allowBlank="1" showInputMessage="1" showErrorMessage="1" sqref="D4:D95" xr:uid="{FD0BF9B2-059A-4084-AFBD-930A41BBA88F}">
      <formula1>INDIRECT(C4)</formula1>
    </dataValidation>
    <dataValidation type="list" allowBlank="1" showInputMessage="1" showErrorMessage="1" sqref="B4:B95" xr:uid="{94C0DBD0-655B-4BA0-B38B-0D8D753E6C2A}">
      <formula1>INDIRECT("NAMENLIJST")</formula1>
    </dataValidation>
  </dataValidations>
  <pageMargins left="0.7" right="0.7" top="0.75" bottom="0.75" header="0.3" footer="0.3"/>
  <pageSetup paperSize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date" operator="greaterThan" allowBlank="1" showInputMessage="1" showErrorMessage="1" xr:uid="{3384E8BB-912C-47E0-A56F-34337759834B}">
          <x14:formula1>
            <xm:f>Lijsten!G15</xm:f>
          </x14:formula1>
          <xm:sqref>F4:F95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88D10-C669-4D94-81A5-0364DCBE81A5}">
  <dimension ref="A2:G90"/>
  <sheetViews>
    <sheetView topLeftCell="A50" workbookViewId="0">
      <selection activeCell="B10" sqref="B10"/>
    </sheetView>
  </sheetViews>
  <sheetFormatPr defaultColWidth="8.88671875" defaultRowHeight="14.4" x14ac:dyDescent="0.3"/>
  <cols>
    <col min="1" max="1" width="19.44140625" style="2" customWidth="1"/>
    <col min="2" max="2" width="24.44140625" style="2" bestFit="1" customWidth="1"/>
    <col min="3" max="3" width="53.44140625" style="2" customWidth="1"/>
    <col min="4" max="5" width="8.88671875" style="2"/>
    <col min="6" max="6" width="17.5546875" style="2" bestFit="1" customWidth="1"/>
    <col min="7" max="7" width="10.44140625" style="2" bestFit="1" customWidth="1"/>
    <col min="8" max="8" width="13.109375" style="2" bestFit="1" customWidth="1"/>
    <col min="9" max="16384" width="8.88671875" style="2"/>
  </cols>
  <sheetData>
    <row r="2" spans="1:7" x14ac:dyDescent="0.3">
      <c r="A2" s="2" t="s">
        <v>0</v>
      </c>
    </row>
    <row r="3" spans="1:7" x14ac:dyDescent="0.3">
      <c r="A3" s="2" t="s">
        <v>2</v>
      </c>
    </row>
    <row r="4" spans="1:7" x14ac:dyDescent="0.3">
      <c r="A4" s="2" t="s">
        <v>3</v>
      </c>
    </row>
    <row r="5" spans="1:7" x14ac:dyDescent="0.3">
      <c r="A5" s="2" t="s">
        <v>5</v>
      </c>
    </row>
    <row r="6" spans="1:7" x14ac:dyDescent="0.3">
      <c r="A6" s="2" t="s">
        <v>7</v>
      </c>
    </row>
    <row r="15" spans="1:7" x14ac:dyDescent="0.3">
      <c r="A15" s="10" t="s">
        <v>35</v>
      </c>
      <c r="B15" s="10" t="s">
        <v>29</v>
      </c>
      <c r="C15" s="10" t="s">
        <v>49</v>
      </c>
      <c r="G15" s="7"/>
    </row>
    <row r="16" spans="1:7" x14ac:dyDescent="0.3">
      <c r="A16" s="11" t="s">
        <v>50</v>
      </c>
      <c r="B16" s="11" t="s">
        <v>51</v>
      </c>
      <c r="C16" s="22" t="s">
        <v>52</v>
      </c>
    </row>
    <row r="17" spans="1:3" x14ac:dyDescent="0.3">
      <c r="A17" s="11" t="s">
        <v>50</v>
      </c>
      <c r="B17" s="11" t="s">
        <v>51</v>
      </c>
      <c r="C17" s="22" t="s">
        <v>53</v>
      </c>
    </row>
    <row r="18" spans="1:3" x14ac:dyDescent="0.3">
      <c r="A18" s="11" t="s">
        <v>50</v>
      </c>
      <c r="B18" s="11" t="s">
        <v>51</v>
      </c>
      <c r="C18" s="22" t="s">
        <v>54</v>
      </c>
    </row>
    <row r="19" spans="1:3" x14ac:dyDescent="0.3">
      <c r="A19" s="11" t="s">
        <v>55</v>
      </c>
      <c r="B19" s="11" t="s">
        <v>51</v>
      </c>
      <c r="C19" s="22" t="s">
        <v>56</v>
      </c>
    </row>
    <row r="20" spans="1:3" x14ac:dyDescent="0.3">
      <c r="A20" s="13" t="s">
        <v>55</v>
      </c>
      <c r="B20" s="13" t="s">
        <v>51</v>
      </c>
      <c r="C20" s="23" t="s">
        <v>57</v>
      </c>
    </row>
    <row r="21" spans="1:3" x14ac:dyDescent="0.3">
      <c r="A21" s="11" t="s">
        <v>55</v>
      </c>
      <c r="B21" s="11" t="s">
        <v>51</v>
      </c>
      <c r="C21" s="22" t="s">
        <v>58</v>
      </c>
    </row>
    <row r="22" spans="1:3" x14ac:dyDescent="0.3">
      <c r="A22" s="11" t="s">
        <v>55</v>
      </c>
      <c r="B22" s="11" t="s">
        <v>51</v>
      </c>
      <c r="C22" s="22" t="s">
        <v>59</v>
      </c>
    </row>
    <row r="23" spans="1:3" x14ac:dyDescent="0.3">
      <c r="A23" s="11" t="s">
        <v>55</v>
      </c>
      <c r="B23" s="11" t="s">
        <v>51</v>
      </c>
      <c r="C23" s="22" t="s">
        <v>60</v>
      </c>
    </row>
    <row r="24" spans="1:3" x14ac:dyDescent="0.3">
      <c r="A24" s="11" t="s">
        <v>55</v>
      </c>
      <c r="B24" s="11" t="s">
        <v>51</v>
      </c>
      <c r="C24" s="22" t="s">
        <v>61</v>
      </c>
    </row>
    <row r="25" spans="1:3" x14ac:dyDescent="0.3">
      <c r="A25" s="13" t="s">
        <v>55</v>
      </c>
      <c r="B25" s="13" t="s">
        <v>51</v>
      </c>
      <c r="C25" s="23" t="s">
        <v>62</v>
      </c>
    </row>
    <row r="26" spans="1:3" x14ac:dyDescent="0.3">
      <c r="A26" s="11" t="s">
        <v>63</v>
      </c>
      <c r="B26" s="11" t="s">
        <v>64</v>
      </c>
      <c r="C26" s="22" t="s">
        <v>65</v>
      </c>
    </row>
    <row r="27" spans="1:3" x14ac:dyDescent="0.3">
      <c r="A27" s="11" t="s">
        <v>63</v>
      </c>
      <c r="B27" s="11" t="s">
        <v>64</v>
      </c>
      <c r="C27" s="22" t="s">
        <v>66</v>
      </c>
    </row>
    <row r="28" spans="1:3" x14ac:dyDescent="0.3">
      <c r="A28" s="11" t="s">
        <v>63</v>
      </c>
      <c r="B28" s="11" t="s">
        <v>64</v>
      </c>
      <c r="C28" s="22" t="s">
        <v>67</v>
      </c>
    </row>
    <row r="29" spans="1:3" x14ac:dyDescent="0.3">
      <c r="A29" s="11" t="s">
        <v>63</v>
      </c>
      <c r="B29" s="11" t="s">
        <v>64</v>
      </c>
      <c r="C29" s="22" t="s">
        <v>68</v>
      </c>
    </row>
    <row r="30" spans="1:3" x14ac:dyDescent="0.3">
      <c r="A30" s="11" t="s">
        <v>55</v>
      </c>
      <c r="B30" s="11" t="s">
        <v>64</v>
      </c>
      <c r="C30" s="22" t="s">
        <v>69</v>
      </c>
    </row>
    <row r="31" spans="1:3" x14ac:dyDescent="0.3">
      <c r="A31" s="11" t="s">
        <v>55</v>
      </c>
      <c r="B31" s="11" t="s">
        <v>64</v>
      </c>
      <c r="C31" s="22" t="s">
        <v>70</v>
      </c>
    </row>
    <row r="32" spans="1:3" x14ac:dyDescent="0.3">
      <c r="A32" s="11" t="s">
        <v>55</v>
      </c>
      <c r="B32" s="11" t="s">
        <v>64</v>
      </c>
      <c r="C32" s="22" t="s">
        <v>71</v>
      </c>
    </row>
    <row r="33" spans="1:3" x14ac:dyDescent="0.3">
      <c r="A33" s="11" t="s">
        <v>55</v>
      </c>
      <c r="B33" s="11" t="s">
        <v>64</v>
      </c>
      <c r="C33" s="22" t="s">
        <v>72</v>
      </c>
    </row>
    <row r="34" spans="1:3" x14ac:dyDescent="0.3">
      <c r="A34" s="11" t="s">
        <v>73</v>
      </c>
      <c r="B34" s="11" t="s">
        <v>64</v>
      </c>
      <c r="C34" s="22" t="s">
        <v>74</v>
      </c>
    </row>
    <row r="35" spans="1:3" x14ac:dyDescent="0.3">
      <c r="A35" s="14" t="s">
        <v>73</v>
      </c>
      <c r="B35" s="13" t="s">
        <v>64</v>
      </c>
      <c r="C35" s="23" t="s">
        <v>74</v>
      </c>
    </row>
    <row r="36" spans="1:3" x14ac:dyDescent="0.3">
      <c r="A36" s="11" t="s">
        <v>55</v>
      </c>
      <c r="B36" s="11" t="s">
        <v>75</v>
      </c>
      <c r="C36" s="22" t="s">
        <v>76</v>
      </c>
    </row>
    <row r="37" spans="1:3" x14ac:dyDescent="0.3">
      <c r="A37" s="11" t="s">
        <v>55</v>
      </c>
      <c r="B37" s="11" t="s">
        <v>75</v>
      </c>
      <c r="C37" s="22" t="s">
        <v>77</v>
      </c>
    </row>
    <row r="38" spans="1:3" x14ac:dyDescent="0.3">
      <c r="A38" s="11" t="s">
        <v>55</v>
      </c>
      <c r="B38" s="11" t="s">
        <v>75</v>
      </c>
      <c r="C38" s="22" t="s">
        <v>78</v>
      </c>
    </row>
    <row r="39" spans="1:3" x14ac:dyDescent="0.3">
      <c r="A39" s="11" t="s">
        <v>55</v>
      </c>
      <c r="B39" s="11" t="s">
        <v>75</v>
      </c>
      <c r="C39" s="22" t="s">
        <v>79</v>
      </c>
    </row>
    <row r="40" spans="1:3" x14ac:dyDescent="0.3">
      <c r="A40" s="11" t="s">
        <v>55</v>
      </c>
      <c r="B40" s="11" t="s">
        <v>75</v>
      </c>
      <c r="C40" s="22" t="s">
        <v>80</v>
      </c>
    </row>
    <row r="41" spans="1:3" x14ac:dyDescent="0.3">
      <c r="A41" s="11" t="s">
        <v>55</v>
      </c>
      <c r="B41" s="11" t="s">
        <v>75</v>
      </c>
      <c r="C41" s="22" t="s">
        <v>81</v>
      </c>
    </row>
    <row r="42" spans="1:3" x14ac:dyDescent="0.3">
      <c r="A42" s="11" t="s">
        <v>55</v>
      </c>
      <c r="B42" s="11" t="s">
        <v>75</v>
      </c>
      <c r="C42" s="22" t="s">
        <v>82</v>
      </c>
    </row>
    <row r="43" spans="1:3" x14ac:dyDescent="0.3">
      <c r="A43" s="11" t="s">
        <v>55</v>
      </c>
      <c r="B43" s="11" t="s">
        <v>75</v>
      </c>
      <c r="C43" s="22" t="s">
        <v>83</v>
      </c>
    </row>
    <row r="44" spans="1:3" x14ac:dyDescent="0.3">
      <c r="A44" s="13" t="s">
        <v>55</v>
      </c>
      <c r="B44" s="13" t="s">
        <v>75</v>
      </c>
      <c r="C44" s="23" t="s">
        <v>84</v>
      </c>
    </row>
    <row r="45" spans="1:3" x14ac:dyDescent="0.3">
      <c r="A45" s="11" t="s">
        <v>63</v>
      </c>
      <c r="B45" s="11" t="s">
        <v>85</v>
      </c>
      <c r="C45" s="22" t="s">
        <v>86</v>
      </c>
    </row>
    <row r="46" spans="1:3" x14ac:dyDescent="0.3">
      <c r="A46" s="11" t="s">
        <v>63</v>
      </c>
      <c r="B46" s="11" t="s">
        <v>85</v>
      </c>
      <c r="C46" s="22" t="s">
        <v>87</v>
      </c>
    </row>
    <row r="47" spans="1:3" x14ac:dyDescent="0.3">
      <c r="A47" s="11" t="s">
        <v>63</v>
      </c>
      <c r="B47" s="11" t="s">
        <v>85</v>
      </c>
      <c r="C47" s="22" t="s">
        <v>88</v>
      </c>
    </row>
    <row r="48" spans="1:3" x14ac:dyDescent="0.3">
      <c r="A48" s="11" t="s">
        <v>63</v>
      </c>
      <c r="B48" s="11" t="s">
        <v>85</v>
      </c>
      <c r="C48" s="22" t="s">
        <v>89</v>
      </c>
    </row>
    <row r="49" spans="1:3" x14ac:dyDescent="0.3">
      <c r="A49" s="11" t="s">
        <v>63</v>
      </c>
      <c r="B49" s="11" t="s">
        <v>85</v>
      </c>
      <c r="C49" s="22" t="s">
        <v>90</v>
      </c>
    </row>
    <row r="50" spans="1:3" x14ac:dyDescent="0.3">
      <c r="A50" s="11" t="s">
        <v>63</v>
      </c>
      <c r="B50" s="11" t="s">
        <v>85</v>
      </c>
      <c r="C50" s="22" t="s">
        <v>91</v>
      </c>
    </row>
    <row r="51" spans="1:3" x14ac:dyDescent="0.3">
      <c r="A51" s="11" t="s">
        <v>73</v>
      </c>
      <c r="B51" s="11" t="s">
        <v>85</v>
      </c>
      <c r="C51" s="22" t="s">
        <v>92</v>
      </c>
    </row>
    <row r="52" spans="1:3" x14ac:dyDescent="0.3">
      <c r="A52" s="15" t="s">
        <v>73</v>
      </c>
      <c r="B52" s="13" t="s">
        <v>85</v>
      </c>
      <c r="C52" s="23" t="s">
        <v>93</v>
      </c>
    </row>
    <row r="53" spans="1:3" x14ac:dyDescent="0.3">
      <c r="A53" s="11" t="s">
        <v>94</v>
      </c>
      <c r="B53" s="11" t="s">
        <v>36</v>
      </c>
      <c r="C53" s="22" t="s">
        <v>47</v>
      </c>
    </row>
    <row r="54" spans="1:3" x14ac:dyDescent="0.3">
      <c r="A54" s="11" t="s">
        <v>94</v>
      </c>
      <c r="B54" s="11" t="s">
        <v>36</v>
      </c>
      <c r="C54" s="22" t="s">
        <v>37</v>
      </c>
    </row>
    <row r="55" spans="1:3" x14ac:dyDescent="0.3">
      <c r="A55" s="11" t="s">
        <v>94</v>
      </c>
      <c r="B55" s="11" t="s">
        <v>36</v>
      </c>
      <c r="C55" s="22" t="s">
        <v>40</v>
      </c>
    </row>
    <row r="56" spans="1:3" x14ac:dyDescent="0.3">
      <c r="A56" s="11" t="s">
        <v>94</v>
      </c>
      <c r="B56" s="11" t="s">
        <v>36</v>
      </c>
      <c r="C56" s="22" t="s">
        <v>42</v>
      </c>
    </row>
    <row r="57" spans="1:3" x14ac:dyDescent="0.3">
      <c r="A57" s="11" t="s">
        <v>94</v>
      </c>
      <c r="B57" s="11" t="s">
        <v>36</v>
      </c>
      <c r="C57" s="22" t="s">
        <v>95</v>
      </c>
    </row>
    <row r="58" spans="1:3" x14ac:dyDescent="0.3">
      <c r="A58" s="11" t="s">
        <v>94</v>
      </c>
      <c r="B58" s="11" t="s">
        <v>36</v>
      </c>
      <c r="C58" s="22" t="s">
        <v>44</v>
      </c>
    </row>
    <row r="59" spans="1:3" x14ac:dyDescent="0.3">
      <c r="A59" s="11" t="s">
        <v>94</v>
      </c>
      <c r="B59" s="11" t="s">
        <v>36</v>
      </c>
      <c r="C59" s="22" t="s">
        <v>96</v>
      </c>
    </row>
    <row r="60" spans="1:3" x14ac:dyDescent="0.3">
      <c r="A60" s="11" t="s">
        <v>94</v>
      </c>
      <c r="B60" s="11" t="s">
        <v>36</v>
      </c>
      <c r="C60" s="22" t="s">
        <v>45</v>
      </c>
    </row>
    <row r="61" spans="1:3" x14ac:dyDescent="0.3">
      <c r="A61" s="11" t="s">
        <v>94</v>
      </c>
      <c r="B61" s="11" t="s">
        <v>36</v>
      </c>
      <c r="C61" s="22" t="s">
        <v>46</v>
      </c>
    </row>
    <row r="62" spans="1:3" x14ac:dyDescent="0.3">
      <c r="A62" s="16" t="s">
        <v>73</v>
      </c>
      <c r="B62" s="11" t="s">
        <v>36</v>
      </c>
      <c r="C62" s="22" t="s">
        <v>97</v>
      </c>
    </row>
    <row r="63" spans="1:3" x14ac:dyDescent="0.3">
      <c r="A63" s="13" t="s">
        <v>50</v>
      </c>
      <c r="B63" s="13" t="s">
        <v>36</v>
      </c>
      <c r="C63" s="23" t="s">
        <v>98</v>
      </c>
    </row>
    <row r="64" spans="1:3" x14ac:dyDescent="0.3">
      <c r="A64" s="12" t="s">
        <v>50</v>
      </c>
      <c r="B64" s="17" t="s">
        <v>99</v>
      </c>
      <c r="C64" s="24" t="s">
        <v>100</v>
      </c>
    </row>
    <row r="65" spans="1:3" x14ac:dyDescent="0.3">
      <c r="A65" s="12" t="s">
        <v>50</v>
      </c>
      <c r="B65" s="17" t="s">
        <v>99</v>
      </c>
      <c r="C65" s="22" t="s">
        <v>101</v>
      </c>
    </row>
    <row r="66" spans="1:3" x14ac:dyDescent="0.3">
      <c r="A66" s="12" t="s">
        <v>50</v>
      </c>
      <c r="B66" s="17" t="s">
        <v>99</v>
      </c>
      <c r="C66" s="22" t="s">
        <v>102</v>
      </c>
    </row>
    <row r="67" spans="1:3" x14ac:dyDescent="0.3">
      <c r="A67" s="12" t="s">
        <v>94</v>
      </c>
      <c r="B67" s="17" t="s">
        <v>99</v>
      </c>
      <c r="C67" s="22" t="s">
        <v>103</v>
      </c>
    </row>
    <row r="68" spans="1:3" x14ac:dyDescent="0.3">
      <c r="A68" s="12" t="s">
        <v>94</v>
      </c>
      <c r="B68" s="17" t="s">
        <v>99</v>
      </c>
      <c r="C68" s="22" t="s">
        <v>104</v>
      </c>
    </row>
    <row r="69" spans="1:3" x14ac:dyDescent="0.3">
      <c r="A69" s="12" t="s">
        <v>94</v>
      </c>
      <c r="B69" s="17" t="s">
        <v>99</v>
      </c>
      <c r="C69" s="22" t="s">
        <v>105</v>
      </c>
    </row>
    <row r="70" spans="1:3" x14ac:dyDescent="0.3">
      <c r="A70" s="12" t="s">
        <v>94</v>
      </c>
      <c r="B70" s="17" t="s">
        <v>99</v>
      </c>
      <c r="C70" s="22" t="s">
        <v>106</v>
      </c>
    </row>
    <row r="71" spans="1:3" x14ac:dyDescent="0.3">
      <c r="A71" s="12" t="s">
        <v>94</v>
      </c>
      <c r="B71" s="17" t="s">
        <v>99</v>
      </c>
      <c r="C71" s="22" t="s">
        <v>107</v>
      </c>
    </row>
    <row r="72" spans="1:3" x14ac:dyDescent="0.3">
      <c r="A72" s="12" t="s">
        <v>94</v>
      </c>
      <c r="B72" s="17" t="s">
        <v>99</v>
      </c>
      <c r="C72" s="22" t="s">
        <v>108</v>
      </c>
    </row>
    <row r="73" spans="1:3" x14ac:dyDescent="0.3">
      <c r="A73" s="12" t="s">
        <v>94</v>
      </c>
      <c r="B73" s="17" t="s">
        <v>99</v>
      </c>
      <c r="C73" s="22" t="s">
        <v>109</v>
      </c>
    </row>
    <row r="74" spans="1:3" x14ac:dyDescent="0.3">
      <c r="A74" s="12" t="s">
        <v>94</v>
      </c>
      <c r="B74" s="17" t="s">
        <v>99</v>
      </c>
      <c r="C74" s="22" t="s">
        <v>110</v>
      </c>
    </row>
    <row r="75" spans="1:3" x14ac:dyDescent="0.3">
      <c r="A75" s="12" t="s">
        <v>55</v>
      </c>
      <c r="B75" s="17" t="s">
        <v>99</v>
      </c>
      <c r="C75" s="22" t="s">
        <v>111</v>
      </c>
    </row>
    <row r="76" spans="1:3" x14ac:dyDescent="0.3">
      <c r="A76" s="12" t="s">
        <v>55</v>
      </c>
      <c r="B76" s="17" t="s">
        <v>99</v>
      </c>
      <c r="C76" s="22" t="s">
        <v>112</v>
      </c>
    </row>
    <row r="77" spans="1:3" x14ac:dyDescent="0.3">
      <c r="A77" s="12" t="s">
        <v>55</v>
      </c>
      <c r="B77" s="17" t="s">
        <v>99</v>
      </c>
      <c r="C77" s="22" t="s">
        <v>113</v>
      </c>
    </row>
    <row r="78" spans="1:3" x14ac:dyDescent="0.3">
      <c r="A78" s="12" t="s">
        <v>55</v>
      </c>
      <c r="B78" s="17" t="s">
        <v>99</v>
      </c>
      <c r="C78" s="22" t="s">
        <v>114</v>
      </c>
    </row>
    <row r="79" spans="1:3" x14ac:dyDescent="0.3">
      <c r="A79" s="12" t="s">
        <v>55</v>
      </c>
      <c r="B79" s="17" t="s">
        <v>99</v>
      </c>
      <c r="C79" s="22" t="s">
        <v>115</v>
      </c>
    </row>
    <row r="80" spans="1:3" x14ac:dyDescent="0.3">
      <c r="A80" s="12" t="s">
        <v>55</v>
      </c>
      <c r="B80" s="17" t="s">
        <v>99</v>
      </c>
      <c r="C80" s="22" t="s">
        <v>116</v>
      </c>
    </row>
    <row r="81" spans="1:3" x14ac:dyDescent="0.3">
      <c r="A81" s="12" t="s">
        <v>73</v>
      </c>
      <c r="B81" s="17" t="s">
        <v>99</v>
      </c>
      <c r="C81" s="22" t="s">
        <v>117</v>
      </c>
    </row>
    <row r="82" spans="1:3" x14ac:dyDescent="0.3">
      <c r="A82" s="12" t="s">
        <v>73</v>
      </c>
      <c r="B82" s="17" t="s">
        <v>99</v>
      </c>
      <c r="C82" s="22" t="s">
        <v>118</v>
      </c>
    </row>
    <row r="83" spans="1:3" x14ac:dyDescent="0.3">
      <c r="A83" s="12" t="s">
        <v>73</v>
      </c>
      <c r="B83" s="17" t="s">
        <v>99</v>
      </c>
      <c r="C83" s="22" t="s">
        <v>119</v>
      </c>
    </row>
    <row r="84" spans="1:3" x14ac:dyDescent="0.3">
      <c r="A84" s="12" t="s">
        <v>73</v>
      </c>
      <c r="B84" s="17" t="s">
        <v>99</v>
      </c>
      <c r="C84" s="22" t="s">
        <v>120</v>
      </c>
    </row>
    <row r="85" spans="1:3" x14ac:dyDescent="0.3">
      <c r="A85" s="12" t="s">
        <v>73</v>
      </c>
      <c r="B85" s="17" t="s">
        <v>99</v>
      </c>
      <c r="C85" s="22" t="s">
        <v>121</v>
      </c>
    </row>
    <row r="86" spans="1:3" x14ac:dyDescent="0.3">
      <c r="A86" s="12" t="s">
        <v>73</v>
      </c>
      <c r="B86" s="17" t="s">
        <v>99</v>
      </c>
      <c r="C86" s="22" t="s">
        <v>122</v>
      </c>
    </row>
    <row r="87" spans="1:3" x14ac:dyDescent="0.3">
      <c r="A87" s="12" t="s">
        <v>73</v>
      </c>
      <c r="B87" s="17" t="s">
        <v>99</v>
      </c>
      <c r="C87" s="22" t="s">
        <v>123</v>
      </c>
    </row>
    <row r="88" spans="1:3" x14ac:dyDescent="0.3">
      <c r="A88" s="12" t="s">
        <v>73</v>
      </c>
      <c r="B88" s="17" t="s">
        <v>99</v>
      </c>
      <c r="C88" s="22" t="s">
        <v>124</v>
      </c>
    </row>
    <row r="89" spans="1:3" x14ac:dyDescent="0.3">
      <c r="A89" s="12"/>
      <c r="B89" s="17"/>
      <c r="C89" s="18"/>
    </row>
    <row r="90" spans="1:3" x14ac:dyDescent="0.3">
      <c r="A90" s="12"/>
      <c r="B90" s="12"/>
      <c r="C90" s="18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32AD-7C0C-49B7-9C94-F45924FF0FA9}">
  <dimension ref="B2:F25"/>
  <sheetViews>
    <sheetView workbookViewId="0">
      <selection activeCell="G9" sqref="G9"/>
    </sheetView>
  </sheetViews>
  <sheetFormatPr defaultColWidth="8.88671875" defaultRowHeight="14.4" x14ac:dyDescent="0.3"/>
  <cols>
    <col min="1" max="1" width="8.88671875" style="2"/>
    <col min="2" max="2" width="17.109375" style="2" bestFit="1" customWidth="1"/>
    <col min="3" max="3" width="11.88671875" style="2" bestFit="1" customWidth="1"/>
    <col min="4" max="4" width="15.5546875" style="2" bestFit="1" customWidth="1"/>
    <col min="5" max="5" width="17.109375" style="2" bestFit="1" customWidth="1"/>
    <col min="6" max="6" width="11.88671875" style="2" bestFit="1" customWidth="1"/>
    <col min="7" max="7" width="15.5546875" style="2" bestFit="1" customWidth="1"/>
    <col min="8" max="16384" width="8.88671875" style="2"/>
  </cols>
  <sheetData>
    <row r="2" spans="2:6" x14ac:dyDescent="0.3">
      <c r="B2" s="2" t="s">
        <v>125</v>
      </c>
      <c r="E2" s="2" t="s">
        <v>126</v>
      </c>
    </row>
    <row r="3" spans="2:6" x14ac:dyDescent="0.3">
      <c r="B3" s="25" t="s">
        <v>127</v>
      </c>
      <c r="C3" s="26" t="s">
        <v>128</v>
      </c>
      <c r="E3" s="25" t="s">
        <v>127</v>
      </c>
      <c r="F3" s="26" t="s">
        <v>128</v>
      </c>
    </row>
    <row r="4" spans="2:6" x14ac:dyDescent="0.3">
      <c r="B4" s="27" t="s">
        <v>129</v>
      </c>
      <c r="C4" s="26"/>
      <c r="E4" s="27" t="s">
        <v>129</v>
      </c>
      <c r="F4" s="26"/>
    </row>
    <row r="5" spans="2:6" x14ac:dyDescent="0.3">
      <c r="B5" s="28" t="s">
        <v>129</v>
      </c>
      <c r="C5" s="26"/>
      <c r="E5" s="28" t="s">
        <v>129</v>
      </c>
      <c r="F5" s="26"/>
    </row>
    <row r="6" spans="2:6" x14ac:dyDescent="0.3">
      <c r="B6" s="29" t="s">
        <v>129</v>
      </c>
      <c r="C6" s="26"/>
      <c r="E6" s="29">
        <v>0</v>
      </c>
      <c r="F6" s="26"/>
    </row>
    <row r="7" spans="2:6" x14ac:dyDescent="0.3">
      <c r="B7" s="27" t="s">
        <v>130</v>
      </c>
      <c r="C7" s="26"/>
      <c r="E7" s="27" t="s">
        <v>130</v>
      </c>
      <c r="F7" s="26"/>
    </row>
    <row r="8" spans="2:6" x14ac:dyDescent="0.3">
      <c r="B8"/>
      <c r="C8"/>
      <c r="E8"/>
      <c r="F8"/>
    </row>
    <row r="9" spans="2:6" x14ac:dyDescent="0.3">
      <c r="B9"/>
      <c r="C9"/>
      <c r="E9"/>
      <c r="F9"/>
    </row>
    <row r="10" spans="2:6" x14ac:dyDescent="0.3">
      <c r="B10"/>
      <c r="C10"/>
      <c r="E10"/>
      <c r="F10"/>
    </row>
    <row r="11" spans="2:6" x14ac:dyDescent="0.3">
      <c r="B11"/>
      <c r="C11"/>
      <c r="E11"/>
      <c r="F11"/>
    </row>
    <row r="12" spans="2:6" x14ac:dyDescent="0.3">
      <c r="B12"/>
      <c r="C12"/>
      <c r="E12"/>
      <c r="F12"/>
    </row>
    <row r="13" spans="2:6" x14ac:dyDescent="0.3">
      <c r="B13"/>
      <c r="C13"/>
      <c r="E13"/>
      <c r="F13"/>
    </row>
    <row r="14" spans="2:6" x14ac:dyDescent="0.3">
      <c r="B14"/>
      <c r="C14"/>
      <c r="E14"/>
      <c r="F14"/>
    </row>
    <row r="15" spans="2:6" x14ac:dyDescent="0.3">
      <c r="B15"/>
      <c r="C15"/>
      <c r="E15"/>
      <c r="F15"/>
    </row>
    <row r="16" spans="2:6" x14ac:dyDescent="0.3">
      <c r="B16"/>
      <c r="C16"/>
      <c r="E16"/>
      <c r="F16"/>
    </row>
    <row r="17" spans="2:6" x14ac:dyDescent="0.3">
      <c r="B17"/>
      <c r="C17"/>
      <c r="E17"/>
      <c r="F17"/>
    </row>
    <row r="18" spans="2:6" x14ac:dyDescent="0.3">
      <c r="B18"/>
      <c r="C18"/>
      <c r="E18"/>
      <c r="F18"/>
    </row>
    <row r="19" spans="2:6" x14ac:dyDescent="0.3">
      <c r="B19"/>
      <c r="C19"/>
      <c r="E19"/>
      <c r="F19"/>
    </row>
    <row r="20" spans="2:6" x14ac:dyDescent="0.3">
      <c r="B20"/>
      <c r="C20"/>
      <c r="E20"/>
      <c r="F20"/>
    </row>
    <row r="21" spans="2:6" x14ac:dyDescent="0.3">
      <c r="B21"/>
      <c r="C21"/>
      <c r="E21"/>
      <c r="F21"/>
    </row>
    <row r="22" spans="2:6" x14ac:dyDescent="0.3">
      <c r="B22"/>
      <c r="C22"/>
      <c r="E22"/>
      <c r="F22"/>
    </row>
    <row r="23" spans="2:6" x14ac:dyDescent="0.3">
      <c r="B23"/>
      <c r="C23"/>
      <c r="E23"/>
      <c r="F23"/>
    </row>
    <row r="24" spans="2:6" x14ac:dyDescent="0.3">
      <c r="B24"/>
      <c r="C24"/>
    </row>
    <row r="25" spans="2:6" x14ac:dyDescent="0.3">
      <c r="B25"/>
      <c r="C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2f6111a-4acc-4f4d-a785-1ce5750b99c1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4E694D7DD87B48B6C9144CF109DD7B" ma:contentTypeVersion="6" ma:contentTypeDescription="Create a new document." ma:contentTypeScope="" ma:versionID="97188e5f1206c5071cb8f612cba0f782">
  <xsd:schema xmlns:xsd="http://www.w3.org/2001/XMLSchema" xmlns:xs="http://www.w3.org/2001/XMLSchema" xmlns:p="http://schemas.microsoft.com/office/2006/metadata/properties" xmlns:ns3="72f6111a-4acc-4f4d-a785-1ce5750b99c1" targetNamespace="http://schemas.microsoft.com/office/2006/metadata/properties" ma:root="true" ma:fieldsID="5a3eb9529d3fbc0bafc0bb44ae43268f" ns3:_="">
    <xsd:import namespace="72f6111a-4acc-4f4d-a785-1ce5750b99c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6111a-4acc-4f4d-a785-1ce5750b99c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00532D-E4D5-44D8-A984-285863B16AF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55448D21-BE2A-4C03-A3D0-D98DDB4392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88BAA02-92C8-46CC-880B-167BB75E4C44}">
  <ds:schemaRefs>
    <ds:schemaRef ds:uri="http://schemas.microsoft.com/office/2006/metadata/properties"/>
    <ds:schemaRef ds:uri="http://schemas.microsoft.com/office/infopath/2007/PartnerControls"/>
    <ds:schemaRef ds:uri="72f6111a-4acc-4f4d-a785-1ce5750b99c1"/>
  </ds:schemaRefs>
</ds:datastoreItem>
</file>

<file path=customXml/itemProps4.xml><?xml version="1.0" encoding="utf-8"?>
<ds:datastoreItem xmlns:ds="http://schemas.openxmlformats.org/officeDocument/2006/customXml" ds:itemID="{63149FC9-D1C1-4AC7-94E6-85E462BF32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f6111a-4acc-4f4d-a785-1ce5750b99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36377b7-70c4-4493-a338-095918d327e9}" enabled="0" method="" siteId="{e36377b7-70c4-4493-a338-095918d32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4</vt:i4>
      </vt:variant>
      <vt:variant>
        <vt:lpstr>Benoemde bereiken</vt:lpstr>
      </vt:variant>
      <vt:variant>
        <vt:i4>7</vt:i4>
      </vt:variant>
    </vt:vector>
  </HeadingPairs>
  <TitlesOfParts>
    <vt:vector size="11" baseType="lpstr">
      <vt:lpstr>Invulinstructie</vt:lpstr>
      <vt:lpstr>Uren</vt:lpstr>
      <vt:lpstr>Lijsten</vt:lpstr>
      <vt:lpstr>Samenvattingen</vt:lpstr>
      <vt:lpstr>Beheerproces</vt:lpstr>
      <vt:lpstr>Implementatieproces</vt:lpstr>
      <vt:lpstr>Ontwerpproces</vt:lpstr>
      <vt:lpstr>Overig</vt:lpstr>
      <vt:lpstr>Requirementsanalyseproces</vt:lpstr>
      <vt:lpstr>Scrumproces</vt:lpstr>
      <vt:lpstr>Testproces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Tim de Boer (student)</cp:lastModifiedBy>
  <cp:revision/>
  <dcterms:created xsi:type="dcterms:W3CDTF">2025-10-16T08:07:07Z</dcterms:created>
  <dcterms:modified xsi:type="dcterms:W3CDTF">2025-11-11T14:59:17Z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0x010100A64E694D7DD87B48B6C9144CF109DD7B</vt:lpwstr>
  </property>
  <property fmtid="{D5CDD505-2E9C-101B-9397-08002B2CF9AE}" pid="3" name="MediaServiceImageTags">
    <vt:lpwstr/>
  </property>
</Properties>
</file>